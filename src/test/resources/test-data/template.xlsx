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5自留(季)" sheetId="1" r:id="rId5"/>
    <sheet state="visible" name="115自留總累" sheetId="2" r:id="rId6"/>
    <sheet state="visible" name="歸屬" sheetId="3" r:id="rId7"/>
  </sheets>
  <definedNames>
    <definedName hidden="1" localSheetId="0" name="_xlnm._FilterDatabase">'115自留(季)'!$A$2:$B$83</definedName>
    <definedName hidden="1" localSheetId="1" name="_xlnm._FilterDatabase">'115自留總累'!$A$5:$C$87</definedName>
  </definedNames>
  <calcPr/>
</workbook>
</file>

<file path=xl/sharedStrings.xml><?xml version="1.0" encoding="utf-8"?>
<sst xmlns="http://schemas.openxmlformats.org/spreadsheetml/2006/main" count="626" uniqueCount="185">
  <si>
    <t>險種代號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</si>
  <si>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</si>
  <si>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</si>
  <si>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</si>
  <si>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</si>
  <si>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</si>
  <si>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</si>
  <si>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</si>
  <si>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</si>
  <si>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</si>
  <si>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</si>
  <si>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</si>
  <si>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</si>
  <si>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</si>
  <si>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</si>
  <si>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</si>
  <si>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</si>
  <si>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</si>
  <si>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</si>
  <si>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</si>
  <si>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2300</t>
  </si>
  <si>
    <t>2800</t>
  </si>
  <si>
    <t>2900</t>
  </si>
  <si>
    <t>代號</t>
  </si>
  <si>
    <t>月份</t>
  </si>
  <si>
    <r>
      <rPr>
        <rFont val="全真標準楷書"/>
        <color theme="1"/>
        <sz val="11.0"/>
      </rPr>
      <t>公司別</t>
    </r>
    <r>
      <rPr>
        <rFont val="Book Antiqua"/>
        <color theme="1"/>
        <sz val="11.0"/>
      </rPr>
      <t>/</t>
    </r>
    <r>
      <rPr>
        <rFont val="全真標準楷書"/>
        <color theme="1"/>
        <sz val="11.0"/>
      </rPr>
      <t>險種</t>
    </r>
  </si>
  <si>
    <t>一年期住宅火險</t>
  </si>
  <si>
    <t>長期住宅火險</t>
  </si>
  <si>
    <t>一年期商業火險</t>
  </si>
  <si>
    <t>長期商業火險</t>
  </si>
  <si>
    <t>內陸運輸險</t>
  </si>
  <si>
    <t>貨物運輸險</t>
  </si>
  <si>
    <t>船體險</t>
  </si>
  <si>
    <t>漁船險</t>
  </si>
  <si>
    <t>航空險</t>
  </si>
  <si>
    <t>自用車損險</t>
  </si>
  <si>
    <t>商業車損險</t>
  </si>
  <si>
    <t>自用車責險</t>
  </si>
  <si>
    <t>商業車責險</t>
  </si>
  <si>
    <t>強制自用車責險</t>
  </si>
  <si>
    <t>強制商業車責險</t>
  </si>
  <si>
    <t>強制機車責險</t>
  </si>
  <si>
    <t>一般責任險</t>
  </si>
  <si>
    <t>專業責任險</t>
  </si>
  <si>
    <t>工程險</t>
  </si>
  <si>
    <t>核能險</t>
  </si>
  <si>
    <t>保證險</t>
  </si>
  <si>
    <t>信用險</t>
  </si>
  <si>
    <t>其他財產保險</t>
  </si>
  <si>
    <t>傷害險</t>
  </si>
  <si>
    <t>商業地震險</t>
  </si>
  <si>
    <t>個人綜險</t>
  </si>
  <si>
    <t>商業綜險</t>
  </si>
  <si>
    <t>颱風洪水險</t>
  </si>
  <si>
    <t>政策地震險</t>
  </si>
  <si>
    <t>一年期
健康險</t>
  </si>
  <si>
    <t>長年期
健康險</t>
  </si>
  <si>
    <t>強制電動二輪</t>
  </si>
  <si>
    <t>國外分進</t>
  </si>
  <si>
    <t>合計</t>
  </si>
  <si>
    <t>01</t>
  </si>
  <si>
    <t>1-1Q(1-3)</t>
  </si>
  <si>
    <t>台產</t>
  </si>
  <si>
    <t>02</t>
  </si>
  <si>
    <t>兆豐</t>
  </si>
  <si>
    <t>05</t>
  </si>
  <si>
    <t>富邦</t>
  </si>
  <si>
    <t>06</t>
  </si>
  <si>
    <t>和泰</t>
  </si>
  <si>
    <t>07</t>
  </si>
  <si>
    <t>泰安</t>
  </si>
  <si>
    <t>08</t>
  </si>
  <si>
    <t>明台</t>
  </si>
  <si>
    <t>09</t>
  </si>
  <si>
    <t>南山</t>
  </si>
  <si>
    <t>10</t>
  </si>
  <si>
    <t>第一</t>
  </si>
  <si>
    <t>12</t>
  </si>
  <si>
    <t>旺旺友聯</t>
  </si>
  <si>
    <t>13</t>
  </si>
  <si>
    <t>新光</t>
  </si>
  <si>
    <t>14</t>
  </si>
  <si>
    <t>華南</t>
  </si>
  <si>
    <t>15</t>
  </si>
  <si>
    <t>國泰世紀</t>
  </si>
  <si>
    <t>17</t>
  </si>
  <si>
    <t>新安東京海上</t>
  </si>
  <si>
    <t>中國信託</t>
  </si>
  <si>
    <t>裕利安宜</t>
  </si>
  <si>
    <t>美國國際</t>
  </si>
  <si>
    <t>32</t>
  </si>
  <si>
    <t>美商安達</t>
  </si>
  <si>
    <t>法國巴黎</t>
  </si>
  <si>
    <t>科法斯</t>
  </si>
  <si>
    <t>小計</t>
  </si>
  <si>
    <t>1-2Q(1-6)</t>
  </si>
  <si>
    <t>46</t>
  </si>
  <si>
    <t>1-3Q(1-9)</t>
  </si>
  <si>
    <t>1-4Q(1-12)</t>
  </si>
  <si>
    <t>115年度第1季(1-3月份)各保險公司自留保費統計總表</t>
  </si>
  <si>
    <r>
      <rPr>
        <rFont val="DFKai-SB"/>
        <color theme="1"/>
        <sz val="10.0"/>
      </rPr>
      <t>單位</t>
    </r>
    <r>
      <rPr>
        <rFont val="Times New Roman"/>
        <color theme="1"/>
        <sz val="10.0"/>
      </rPr>
      <t>:</t>
    </r>
    <r>
      <rPr>
        <rFont val="標楷體"/>
        <color theme="1"/>
        <sz val="10.0"/>
      </rPr>
      <t>新台幣元</t>
    </r>
  </si>
  <si>
    <t>汽車險</t>
  </si>
  <si>
    <t>意外險</t>
  </si>
  <si>
    <t>比較</t>
  </si>
  <si>
    <t>公司別/險種</t>
  </si>
  <si>
    <t>火險</t>
  </si>
  <si>
    <t>水險</t>
  </si>
  <si>
    <t>航空</t>
  </si>
  <si>
    <t>車體損失險</t>
  </si>
  <si>
    <t>任意責任險</t>
  </si>
  <si>
    <t>強制責任險</t>
  </si>
  <si>
    <t>責任險</t>
  </si>
  <si>
    <t>信用保證</t>
  </si>
  <si>
    <t>其他財產</t>
  </si>
  <si>
    <t>天災險</t>
  </si>
  <si>
    <t>健康險</t>
  </si>
  <si>
    <t>115年度</t>
  </si>
  <si>
    <t>114年度</t>
  </si>
  <si>
    <t>成長率</t>
  </si>
  <si>
    <t>汽車</t>
  </si>
  <si>
    <t>機車</t>
  </si>
  <si>
    <t>二輪電動</t>
  </si>
  <si>
    <t>責任保險</t>
  </si>
  <si>
    <t>%</t>
  </si>
  <si>
    <t>總計</t>
  </si>
  <si>
    <t>類</t>
  </si>
  <si>
    <t>歸屬</t>
  </si>
  <si>
    <t>險種</t>
  </si>
  <si>
    <t>一</t>
  </si>
  <si>
    <t>一年期住宅火災保險</t>
  </si>
  <si>
    <t>長期住宅火災保險</t>
  </si>
  <si>
    <t>一年期商業火災保險</t>
  </si>
  <si>
    <t>長期商業火災保險</t>
  </si>
  <si>
    <t>二</t>
  </si>
  <si>
    <t>內陸運輸保險</t>
  </si>
  <si>
    <t>貨物運輸保險</t>
  </si>
  <si>
    <t>船體保險</t>
  </si>
  <si>
    <t>漁船保險</t>
  </si>
  <si>
    <t>三</t>
  </si>
  <si>
    <t>航空保險</t>
  </si>
  <si>
    <t>四</t>
  </si>
  <si>
    <t>車體損</t>
  </si>
  <si>
    <t>一般自用汽車財產損失險</t>
  </si>
  <si>
    <t>一般商業汽車財產損失險</t>
  </si>
  <si>
    <t>任意車責</t>
  </si>
  <si>
    <t>一般自用汽車責任險</t>
  </si>
  <si>
    <t>一般商業汽車責任險</t>
  </si>
  <si>
    <t>強制車</t>
  </si>
  <si>
    <t>強制自用汽車責任險</t>
  </si>
  <si>
    <t>強制商業汽車責任險</t>
  </si>
  <si>
    <t>強制機</t>
  </si>
  <si>
    <t>強制機車責任險</t>
  </si>
  <si>
    <t>3200</t>
  </si>
  <si>
    <t>強制微型</t>
  </si>
  <si>
    <t>電動二輪車責任險</t>
  </si>
  <si>
    <t>五</t>
  </si>
  <si>
    <t>意責任</t>
  </si>
  <si>
    <t>一般責任保險</t>
  </si>
  <si>
    <t>專業責任保險</t>
  </si>
  <si>
    <t>意工</t>
  </si>
  <si>
    <t>工程保險</t>
  </si>
  <si>
    <t>2100</t>
  </si>
  <si>
    <t>意信保</t>
  </si>
  <si>
    <t>保證保險</t>
  </si>
  <si>
    <t>2200</t>
  </si>
  <si>
    <t>信用保險</t>
  </si>
  <si>
    <t>2000</t>
  </si>
  <si>
    <t>意其他</t>
  </si>
  <si>
    <t>核能保險</t>
  </si>
  <si>
    <t>2600</t>
  </si>
  <si>
    <t>個人綜合保險</t>
  </si>
  <si>
    <t>2700</t>
  </si>
  <si>
    <t>商業綜合保險</t>
  </si>
  <si>
    <t>六</t>
  </si>
  <si>
    <t>2400</t>
  </si>
  <si>
    <t>七</t>
  </si>
  <si>
    <t>2500</t>
  </si>
  <si>
    <t>商業性地震險</t>
  </si>
  <si>
    <t>颱風、洪水保險</t>
  </si>
  <si>
    <t>政策性地震險</t>
  </si>
  <si>
    <t>八</t>
  </si>
  <si>
    <t>一年期健康險</t>
  </si>
  <si>
    <t>長年期健康險</t>
  </si>
  <si>
    <t>九</t>
  </si>
  <si>
    <t>國外分進業務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</si>
</sst>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#,##0_);[Red]\(#,##0\)"/>
    <numFmt numFmtId="166" formatCode="#,##0.00_);[Red]\(#,##0.00\)"/>
  </numFmts>
  <fonts count="42">
    <font>
      <sz val="12.0"/>
      <color rgb="FF000000"/>
      <name val="全真標準細明"/>
      <scheme val="minor"/>
    </font>
    <font>
      <sz val="12.0"/>
      <color theme="1"/>
      <name val="Book Antiqua"/>
    </font>
    <font>
      <b/>
      <sz val="12.0"/>
      <color rgb="FF000080"/>
      <name val="Book Antiqua"/>
    </font>
    <font>
      <sz val="10.0"/>
      <color theme="1"/>
      <name val="全真標準楷書"/>
    </font>
    <font>
      <sz val="10.0"/>
      <color theme="1"/>
      <name val="Book Antiqua"/>
    </font>
    <font>
      <b/>
      <sz val="10.0"/>
      <color rgb="FF000080"/>
      <name val="全真標準楷書"/>
    </font>
    <font>
      <sz val="11.0"/>
      <color theme="1"/>
      <name val="全真標準楷書"/>
    </font>
    <font>
      <sz val="11.0"/>
      <color theme="1"/>
      <name val="PMingLiu"/>
    </font>
    <font>
      <sz val="11.0"/>
      <color theme="1"/>
      <name val="Book Antiqua"/>
    </font>
    <font>
      <b/>
      <sz val="10.0"/>
      <color rgb="FF000080"/>
      <name val="Book Antiqua"/>
    </font>
    <font>
      <sz val="12.0"/>
      <color theme="1"/>
      <name val="全真標準楷書"/>
    </font>
    <font>
      <sz val="12.0"/>
      <color rgb="FF0000FF"/>
      <name val="Book Antiqua"/>
    </font>
    <font>
      <sz val="11.0"/>
      <color rgb="FF0000FF"/>
      <name val="Book Antiqua"/>
    </font>
    <font>
      <b/>
      <sz val="24.0"/>
      <color theme="1"/>
      <name val="DFKai-SB"/>
    </font>
    <font>
      <b/>
      <sz val="12.0"/>
      <color rgb="FFFF0000"/>
      <name val="DFKai-SB"/>
    </font>
    <font>
      <b/>
      <sz val="14.0"/>
      <color rgb="FFFF0000"/>
      <name val="DFKai-SB"/>
    </font>
    <font>
      <b/>
      <sz val="16.0"/>
      <color theme="1"/>
      <name val="DFKai-SB"/>
    </font>
    <font>
      <b/>
      <sz val="18.0"/>
      <color theme="1"/>
      <name val="DFKai-SB"/>
    </font>
    <font>
      <sz val="10.0"/>
      <color theme="1"/>
      <name val="DFKai-SB"/>
    </font>
    <font>
      <b/>
      <sz val="14.0"/>
      <color theme="1"/>
      <name val="PMingLiu"/>
    </font>
    <font>
      <b/>
      <sz val="14.0"/>
      <color rgb="FF000080"/>
      <name val="PMingLiu"/>
    </font>
    <font>
      <b/>
      <sz val="16.0"/>
      <color theme="1"/>
      <name val="PMingLiu"/>
    </font>
    <font>
      <b/>
      <sz val="15.0"/>
      <color theme="1"/>
      <name val="PMingLiu"/>
    </font>
    <font/>
    <font>
      <b/>
      <sz val="12.0"/>
      <color theme="1"/>
      <name val="PMingLiu"/>
    </font>
    <font>
      <sz val="14.0"/>
      <color theme="1"/>
      <name val="全真標準楷書"/>
    </font>
    <font>
      <sz val="14.0"/>
      <color theme="1"/>
      <name val="Book Antiqua"/>
    </font>
    <font>
      <b/>
      <sz val="14.0"/>
      <color rgb="FF000080"/>
      <name val="Book Antiqua"/>
    </font>
    <font>
      <sz val="15.0"/>
      <color theme="1"/>
      <name val="全真標準楷書"/>
    </font>
    <font>
      <sz val="14.0"/>
      <color rgb="FF0000FF"/>
      <name val="Book Antiqua"/>
    </font>
    <font>
      <sz val="15.0"/>
      <color theme="1"/>
      <name val="PMingLiu"/>
    </font>
    <font>
      <sz val="14.0"/>
      <color rgb="FFFF0000"/>
      <name val="Book Antiqua"/>
    </font>
    <font>
      <sz val="16.0"/>
      <color theme="1"/>
      <name val="全真標準楷書"/>
    </font>
    <font>
      <sz val="16.0"/>
      <color theme="1"/>
      <name val="PMingLiu"/>
    </font>
    <font>
      <b/>
      <sz val="12.0"/>
      <color rgb="FF000080"/>
      <name val="DFKai-SB"/>
    </font>
    <font>
      <sz val="16.0"/>
      <color theme="1"/>
      <name val="Book Antiqua"/>
    </font>
    <font>
      <b/>
      <sz val="14.0"/>
      <color rgb="FF993300"/>
      <name val="PMingLiu"/>
    </font>
    <font>
      <sz val="14.0"/>
      <color theme="1"/>
      <name val="PMingLiu"/>
    </font>
    <font>
      <b/>
      <sz val="14.0"/>
      <color rgb="FF993300"/>
      <name val="Book Antiqua"/>
    </font>
    <font>
      <sz val="14.0"/>
      <color rgb="FFFF0000"/>
      <name val="PMingLiu"/>
    </font>
    <font>
      <b/>
      <sz val="14.0"/>
      <color rgb="FF993300"/>
      <name val="MingLiu"/>
    </font>
    <font>
      <sz val="14.0"/>
      <color theme="1"/>
      <name val="MingLiu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0"/>
    </xf>
    <xf borderId="1" fillId="2" fontId="5" numFmtId="49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0"/>
    </xf>
    <xf borderId="1" fillId="2" fontId="6" numFmtId="165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bottom" wrapText="0"/>
    </xf>
    <xf borderId="1" fillId="2" fontId="9" numFmtId="49" xfId="0" applyAlignment="1" applyBorder="1" applyFont="1" applyNumberFormat="1">
      <alignment horizontal="center" shrinkToFit="0" vertical="bottom" wrapText="0"/>
    </xf>
    <xf borderId="1" fillId="2" fontId="10" numFmtId="0" xfId="0" applyAlignment="1" applyBorder="1" applyFont="1">
      <alignment shrinkToFit="0" vertical="center" wrapText="0"/>
    </xf>
    <xf borderId="1" fillId="0" fontId="1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2" fillId="0" fontId="11" numFmtId="165" xfId="0" applyAlignment="1" applyBorder="1" applyFont="1" applyNumberFormat="1">
      <alignment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2" fontId="9" numFmtId="49" xfId="0" applyAlignment="1" applyBorder="1" applyFont="1" applyNumberFormat="1">
      <alignment horizontal="center" shrinkToFit="0" vertical="center" wrapText="0"/>
    </xf>
    <xf borderId="1" fillId="0" fontId="11" numFmtId="165" xfId="0" applyAlignment="1" applyBorder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2" numFmtId="165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8" numFmtId="165" xfId="0" applyAlignment="1" applyBorder="1" applyFont="1" applyNumberFormat="1">
      <alignment shrinkToFit="0" vertical="bottom" wrapText="0"/>
    </xf>
    <xf borderId="3" fillId="0" fontId="11" numFmtId="165" xfId="0" applyAlignment="1" applyBorder="1" applyFont="1" applyNumberFormat="1">
      <alignment shrinkToFit="0" vertical="bottom" wrapText="0"/>
    </xf>
    <xf borderId="4" fillId="0" fontId="11" numFmtId="165" xfId="0" applyAlignment="1" applyBorder="1" applyFont="1" applyNumberFormat="1">
      <alignment shrinkToFit="0" vertical="bottom" wrapText="0"/>
    </xf>
    <xf borderId="3" fillId="0" fontId="12" numFmtId="165" xfId="0" applyAlignment="1" applyBorder="1" applyFont="1" applyNumberFormat="1">
      <alignment shrinkToFit="0" vertical="bottom" wrapText="0"/>
    </xf>
    <xf borderId="4" fillId="0" fontId="12" numFmtId="165" xfId="0" applyAlignment="1" applyBorder="1" applyFont="1" applyNumberFormat="1">
      <alignment shrinkToFit="0" vertical="bottom" wrapText="0"/>
    </xf>
    <xf borderId="2" fillId="0" fontId="12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" fillId="0" fontId="1" numFmtId="165" xfId="0" applyAlignment="1" applyBorder="1" applyFont="1" applyNumberFormat="1">
      <alignment shrinkToFit="0" vertical="bottom" wrapText="0"/>
    </xf>
    <xf borderId="1" fillId="0" fontId="12" numFmtId="165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9" numFmtId="49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bottom" wrapText="0"/>
    </xf>
    <xf borderId="0" fillId="0" fontId="13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shrinkToFit="0" vertical="bottom" wrapText="0"/>
    </xf>
    <xf borderId="5" fillId="0" fontId="14" numFmtId="0" xfId="0" applyAlignment="1" applyBorder="1" applyFont="1">
      <alignment horizontal="left" shrinkToFit="0" vertical="center" wrapText="0"/>
    </xf>
    <xf borderId="5" fillId="0" fontId="15" numFmtId="0" xfId="0" applyAlignment="1" applyBorder="1" applyFont="1">
      <alignment horizontal="left"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5" fillId="0" fontId="17" numFmtId="0" xfId="0" applyAlignment="1" applyBorder="1" applyFont="1">
      <alignment horizontal="center" shrinkToFit="0" vertical="center" wrapText="0"/>
    </xf>
    <xf borderId="5" fillId="0" fontId="18" numFmtId="10" xfId="0" applyAlignment="1" applyBorder="1" applyFont="1" applyNumberFormat="1">
      <alignment horizontal="right" shrinkToFit="0" vertical="center" wrapText="0"/>
    </xf>
    <xf borderId="6" fillId="2" fontId="19" numFmtId="0" xfId="0" applyAlignment="1" applyBorder="1" applyFont="1">
      <alignment horizontal="center" shrinkToFit="0" vertical="center" wrapText="0"/>
    </xf>
    <xf borderId="6" fillId="2" fontId="20" numFmtId="49" xfId="0" applyAlignment="1" applyBorder="1" applyFont="1" applyNumberFormat="1">
      <alignment horizontal="center" shrinkToFit="0" vertical="center" wrapText="0"/>
    </xf>
    <xf borderId="6" fillId="2" fontId="21" numFmtId="0" xfId="0" applyAlignment="1" applyBorder="1" applyFont="1">
      <alignment horizontal="center" shrinkToFit="0" vertical="center" wrapText="0"/>
    </xf>
    <xf borderId="6" fillId="2" fontId="22" numFmtId="0" xfId="0" applyAlignment="1" applyBorder="1" applyFont="1">
      <alignment horizontal="center" shrinkToFit="0" vertical="center" wrapText="0"/>
    </xf>
    <xf borderId="2" fillId="2" fontId="22" numFmtId="0" xfId="0" applyAlignment="1" applyBorder="1" applyFont="1">
      <alignment horizontal="center" shrinkToFit="0" vertical="center" wrapText="0"/>
    </xf>
    <xf borderId="7" fillId="0" fontId="23" numFmtId="0" xfId="0" applyBorder="1" applyFont="1"/>
    <xf borderId="8" fillId="0" fontId="23" numFmtId="0" xfId="0" applyBorder="1" applyFont="1"/>
    <xf borderId="6" fillId="2" fontId="22" numFmtId="10" xfId="0" applyAlignment="1" applyBorder="1" applyFont="1" applyNumberForma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9" fillId="2" fontId="24" numFmtId="0" xfId="0" applyAlignment="1" applyBorder="1" applyFont="1">
      <alignment horizontal="center" shrinkToFit="0" vertical="center" wrapText="0"/>
    </xf>
    <xf borderId="9" fillId="2" fontId="20" numFmtId="49" xfId="0" applyAlignment="1" applyBorder="1" applyFont="1" applyNumberFormat="1">
      <alignment horizontal="center" shrinkToFit="0" vertical="center" wrapText="0"/>
    </xf>
    <xf borderId="9" fillId="2" fontId="19" numFmtId="0" xfId="0" applyAlignment="1" applyBorder="1" applyFont="1">
      <alignment horizontal="center" shrinkToFit="0" vertical="center" wrapText="0"/>
    </xf>
    <xf borderId="9" fillId="2" fontId="22" numFmtId="0" xfId="0" applyAlignment="1" applyBorder="1" applyFont="1">
      <alignment horizontal="center" shrinkToFit="0" vertical="center" wrapText="0"/>
    </xf>
    <xf borderId="10" fillId="2" fontId="22" numFmtId="0" xfId="0" applyAlignment="1" applyBorder="1" applyFont="1">
      <alignment horizontal="center" shrinkToFit="0" vertical="center" wrapText="0"/>
    </xf>
    <xf borderId="11" fillId="2" fontId="22" numFmtId="0" xfId="0" applyAlignment="1" applyBorder="1" applyFont="1">
      <alignment horizontal="center" shrinkToFit="0" vertical="center" wrapText="0"/>
    </xf>
    <xf borderId="12" fillId="0" fontId="23" numFmtId="0" xfId="0" applyBorder="1" applyFont="1"/>
    <xf borderId="13" fillId="0" fontId="23" numFmtId="0" xfId="0" applyBorder="1" applyFont="1"/>
    <xf borderId="9" fillId="2" fontId="22" numFmtId="10" xfId="0" applyAlignment="1" applyBorder="1" applyFont="1" applyNumberFormat="1">
      <alignment horizontal="center" shrinkToFit="0" vertical="center" wrapText="0"/>
    </xf>
    <xf borderId="14" fillId="2" fontId="19" numFmtId="0" xfId="0" applyAlignment="1" applyBorder="1" applyFont="1">
      <alignment horizontal="center" shrinkToFit="0" vertical="center" wrapText="0"/>
    </xf>
    <xf borderId="14" fillId="2" fontId="20" numFmtId="49" xfId="0" applyAlignment="1" applyBorder="1" applyFont="1" applyNumberFormat="1">
      <alignment horizontal="center" shrinkToFit="0" vertical="center" wrapText="0"/>
    </xf>
    <xf borderId="14" fillId="2" fontId="21" numFmtId="0" xfId="0" applyAlignment="1" applyBorder="1" applyFont="1">
      <alignment horizontal="center" shrinkToFit="0" vertical="center" wrapText="0"/>
    </xf>
    <xf borderId="14" fillId="2" fontId="22" numFmtId="0" xfId="0" applyAlignment="1" applyBorder="1" applyFont="1">
      <alignment horizontal="center" shrinkToFit="0" vertical="center" wrapText="0"/>
    </xf>
    <xf borderId="4" fillId="0" fontId="23" numFmtId="0" xfId="0" applyBorder="1" applyFont="1"/>
    <xf borderId="1" fillId="2" fontId="22" numFmtId="0" xfId="0" applyAlignment="1" applyBorder="1" applyFont="1">
      <alignment horizontal="center" shrinkToFit="0" vertical="center" wrapText="0"/>
    </xf>
    <xf borderId="14" fillId="2" fontId="22" numFmtId="10" xfId="0" applyAlignment="1" applyBorder="1" applyFont="1" applyNumberForma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2" fontId="25" numFmtId="0" xfId="0" applyAlignment="1" applyBorder="1" applyFont="1">
      <alignment shrinkToFit="0" vertical="center" wrapText="0"/>
    </xf>
    <xf borderId="1" fillId="0" fontId="26" numFmtId="165" xfId="0" applyAlignment="1" applyBorder="1" applyFont="1" applyNumberFormat="1">
      <alignment shrinkToFit="0" vertical="center" wrapText="0"/>
    </xf>
    <xf borderId="4" fillId="0" fontId="26" numFmtId="10" xfId="0" applyAlignment="1" applyBorder="1" applyFont="1" applyNumberFormat="1">
      <alignment horizontal="center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2" fontId="26" numFmtId="0" xfId="0" applyAlignment="1" applyBorder="1" applyFont="1">
      <alignment horizontal="center" shrinkToFit="0" vertical="center" wrapText="0"/>
    </xf>
    <xf borderId="1" fillId="2" fontId="27" numFmtId="0" xfId="0" applyAlignment="1" applyBorder="1" applyFont="1">
      <alignment horizontal="center" shrinkToFit="0" vertical="center" wrapText="0"/>
    </xf>
    <xf borderId="1" fillId="2" fontId="28" numFmtId="0" xfId="0" applyAlignment="1" applyBorder="1" applyFont="1">
      <alignment shrinkToFit="0" vertical="center" wrapText="0"/>
    </xf>
    <xf borderId="1" fillId="0" fontId="29" numFmtId="165" xfId="0" applyAlignment="1" applyBorder="1" applyFont="1" applyNumberFormat="1">
      <alignment shrinkToFit="0" vertical="center" wrapText="0"/>
    </xf>
    <xf borderId="0" fillId="0" fontId="26" numFmtId="0" xfId="0" applyAlignment="1" applyFont="1">
      <alignment shrinkToFit="0" vertical="center" wrapText="0"/>
    </xf>
    <xf borderId="1" fillId="2" fontId="30" numFmtId="0" xfId="0" applyAlignment="1" applyBorder="1" applyFont="1">
      <alignment shrinkToFit="0" vertical="center" wrapText="0"/>
    </xf>
    <xf borderId="4" fillId="0" fontId="31" numFmtId="10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32" numFmtId="0" xfId="0" applyAlignment="1" applyBorder="1" applyFont="1">
      <alignment shrinkToFit="0" vertical="center" wrapText="0"/>
    </xf>
    <xf borderId="1" fillId="2" fontId="3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4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shrinkToFit="0" vertical="center" wrapText="0"/>
    </xf>
    <xf borderId="4" fillId="0" fontId="1" numFmtId="9" xfId="0" applyAlignment="1" applyBorder="1" applyFont="1" applyNumberFormat="1">
      <alignment horizontal="center" shrinkToFit="0" vertical="center" wrapText="0"/>
    </xf>
    <xf borderId="0" fillId="0" fontId="27" numFmtId="49" xfId="0" applyAlignment="1" applyFont="1" applyNumberFormat="1">
      <alignment horizontal="center" shrinkToFit="0" vertical="bottom" wrapText="0"/>
    </xf>
    <xf borderId="0" fillId="0" fontId="35" numFmtId="0" xfId="0" applyAlignment="1" applyFont="1">
      <alignment shrinkToFit="0" vertical="center" wrapText="0"/>
    </xf>
    <xf borderId="0" fillId="0" fontId="4" numFmtId="166" xfId="0" applyAlignment="1" applyFont="1" applyNumberFormat="1">
      <alignment shrinkToFit="0" vertical="bottom" wrapText="0"/>
    </xf>
    <xf borderId="15" fillId="0" fontId="33" numFmtId="0" xfId="0" applyAlignment="1" applyBorder="1" applyFont="1">
      <alignment horizontal="center" shrinkToFit="0" vertical="center" wrapText="0"/>
    </xf>
    <xf borderId="16" fillId="0" fontId="33" numFmtId="0" xfId="0" applyAlignment="1" applyBorder="1" applyFont="1">
      <alignment horizontal="center" shrinkToFit="0" vertical="center" wrapText="0"/>
    </xf>
    <xf borderId="16" fillId="0" fontId="35" numFmtId="0" xfId="0" applyAlignment="1" applyBorder="1" applyFont="1">
      <alignment horizontal="center" shrinkToFit="0" vertical="center" wrapText="0"/>
    </xf>
    <xf borderId="17" fillId="0" fontId="33" numFmtId="0" xfId="0" applyAlignment="1" applyBorder="1" applyFont="1">
      <alignment horizontal="center" shrinkToFit="0" vertical="center" wrapText="0"/>
    </xf>
    <xf borderId="18" fillId="0" fontId="36" numFmtId="0" xfId="0" applyAlignment="1" applyBorder="1" applyFont="1">
      <alignment horizontal="center" shrinkToFit="0" vertical="bottom" wrapText="0"/>
    </xf>
    <xf borderId="19" fillId="0" fontId="37" numFmtId="0" xfId="0" applyAlignment="1" applyBorder="1" applyFont="1">
      <alignment shrinkToFit="0" vertical="bottom" wrapText="0"/>
    </xf>
    <xf borderId="19" fillId="0" fontId="26" numFmtId="0" xfId="0" applyAlignment="1" applyBorder="1" applyFont="1">
      <alignment horizontal="center" shrinkToFit="0" vertical="bottom" wrapText="0"/>
    </xf>
    <xf borderId="20" fillId="0" fontId="37" numFmtId="0" xfId="0" applyAlignment="1" applyBorder="1" applyFont="1">
      <alignment shrinkToFit="0" vertical="bottom" wrapText="0"/>
    </xf>
    <xf borderId="21" fillId="0" fontId="38" numFmtId="0" xfId="0" applyAlignment="1" applyBorder="1" applyFont="1">
      <alignment horizontal="center" shrinkToFit="0" vertical="bottom" wrapText="0"/>
    </xf>
    <xf borderId="22" fillId="0" fontId="26" numFmtId="0" xfId="0" applyAlignment="1" applyBorder="1" applyFont="1">
      <alignment shrinkToFit="0" vertical="bottom" wrapText="0"/>
    </xf>
    <xf borderId="22" fillId="0" fontId="26" numFmtId="0" xfId="0" applyAlignment="1" applyBorder="1" applyFont="1">
      <alignment horizontal="center" shrinkToFit="0" vertical="bottom" wrapText="0"/>
    </xf>
    <xf borderId="23" fillId="0" fontId="37" numFmtId="0" xfId="0" applyAlignment="1" applyBorder="1" applyFont="1">
      <alignment shrinkToFit="0" vertical="bottom" wrapText="0"/>
    </xf>
    <xf borderId="24" fillId="0" fontId="36" numFmtId="0" xfId="0" applyAlignment="1" applyBorder="1" applyFont="1">
      <alignment horizontal="center" shrinkToFit="0" vertical="bottom" wrapText="0"/>
    </xf>
    <xf borderId="25" fillId="0" fontId="37" numFmtId="0" xfId="0" applyAlignment="1" applyBorder="1" applyFont="1">
      <alignment shrinkToFit="0" vertical="bottom" wrapText="0"/>
    </xf>
    <xf borderId="25" fillId="0" fontId="26" numFmtId="0" xfId="0" applyAlignment="1" applyBorder="1" applyFont="1">
      <alignment horizontal="center" shrinkToFit="0" vertical="bottom" wrapText="0"/>
    </xf>
    <xf borderId="26" fillId="0" fontId="37" numFmtId="0" xfId="0" applyAlignment="1" applyBorder="1" applyFont="1">
      <alignment shrinkToFit="0" vertical="bottom" wrapText="0"/>
    </xf>
    <xf borderId="21" fillId="0" fontId="36" numFmtId="0" xfId="0" applyAlignment="1" applyBorder="1" applyFont="1">
      <alignment horizontal="center" shrinkToFit="0" vertical="bottom" wrapText="0"/>
    </xf>
    <xf borderId="22" fillId="0" fontId="37" numFmtId="0" xfId="0" applyAlignment="1" applyBorder="1" applyFont="1">
      <alignment shrinkToFit="0" vertical="bottom" wrapText="0"/>
    </xf>
    <xf borderId="27" fillId="0" fontId="26" numFmtId="0" xfId="0" applyAlignment="1" applyBorder="1" applyFont="1">
      <alignment horizontal="center" shrinkToFit="0" vertical="bottom" wrapText="0"/>
    </xf>
    <xf borderId="27" fillId="0" fontId="26" numFmtId="0" xfId="0" applyAlignment="1" applyBorder="1" applyFont="1">
      <alignment shrinkToFit="0" vertical="bottom" wrapText="0"/>
    </xf>
    <xf borderId="28" fillId="0" fontId="37" numFmtId="0" xfId="0" applyAlignment="1" applyBorder="1" applyFont="1">
      <alignment shrinkToFit="0" vertical="bottom" wrapText="0"/>
    </xf>
    <xf borderId="29" fillId="0" fontId="26" numFmtId="0" xfId="0" applyAlignment="1" applyBorder="1" applyFont="1">
      <alignment horizontal="center" shrinkToFit="0" vertical="bottom" wrapText="0"/>
    </xf>
    <xf borderId="29" fillId="0" fontId="37" numFmtId="0" xfId="0" applyAlignment="1" applyBorder="1" applyFont="1">
      <alignment shrinkToFit="0" vertical="bottom" wrapText="0"/>
    </xf>
    <xf borderId="30" fillId="0" fontId="37" numFmtId="0" xfId="0" applyAlignment="1" applyBorder="1" applyFont="1">
      <alignment shrinkToFit="0" vertical="bottom" wrapText="0"/>
    </xf>
    <xf borderId="31" fillId="0" fontId="38" numFmtId="0" xfId="0" applyAlignment="1" applyBorder="1" applyFont="1">
      <alignment horizontal="center" shrinkToFit="0" vertical="bottom" wrapText="0"/>
    </xf>
    <xf borderId="32" fillId="0" fontId="26" numFmtId="0" xfId="0" applyAlignment="1" applyBorder="1" applyFont="1">
      <alignment shrinkToFit="0" vertical="bottom" wrapText="0"/>
    </xf>
    <xf borderId="32" fillId="0" fontId="31" numFmtId="0" xfId="0" applyAlignment="1" applyBorder="1" applyFont="1">
      <alignment horizontal="center" shrinkToFit="0" vertical="bottom" wrapText="0"/>
    </xf>
    <xf borderId="32" fillId="0" fontId="39" numFmtId="0" xfId="0" applyAlignment="1" applyBorder="1" applyFont="1">
      <alignment shrinkToFit="0" vertical="bottom" wrapText="0"/>
    </xf>
    <xf borderId="33" fillId="0" fontId="39" numFmtId="0" xfId="0" applyAlignment="1" applyBorder="1" applyFont="1">
      <alignment shrinkToFit="0" vertical="bottom" wrapText="0"/>
    </xf>
    <xf borderId="32" fillId="0" fontId="26" numFmtId="0" xfId="0" applyAlignment="1" applyBorder="1" applyFont="1">
      <alignment horizontal="center" shrinkToFit="0" vertical="bottom" wrapText="0"/>
    </xf>
    <xf borderId="33" fillId="0" fontId="37" numFmtId="0" xfId="0" applyAlignment="1" applyBorder="1" applyFont="1">
      <alignment shrinkToFit="0" vertical="bottom" wrapText="0"/>
    </xf>
    <xf borderId="18" fillId="0" fontId="40" numFmtId="0" xfId="0" applyAlignment="1" applyBorder="1" applyFont="1">
      <alignment horizontal="center" shrinkToFit="0" vertical="bottom" wrapText="0"/>
    </xf>
    <xf borderId="19" fillId="0" fontId="41" numFmtId="0" xfId="0" applyAlignment="1" applyBorder="1" applyFont="1">
      <alignment shrinkToFit="0" vertical="bottom" wrapText="0"/>
    </xf>
    <xf borderId="31" fillId="0" fontId="40" numFmtId="0" xfId="0" applyAlignment="1" applyBorder="1" applyFont="1">
      <alignment horizontal="center" shrinkToFit="0" vertical="bottom" wrapText="0"/>
    </xf>
    <xf borderId="32" fillId="0" fontId="41" numFmtId="0" xfId="0" applyAlignment="1" applyBorder="1" applyFont="1">
      <alignment shrinkToFit="0" vertical="bottom" wrapText="0"/>
    </xf>
    <xf borderId="34" fillId="0" fontId="36" numFmtId="0" xfId="0" applyAlignment="1" applyBorder="1" applyFont="1">
      <alignment horizontal="center" shrinkToFit="0" vertical="bottom" wrapText="0"/>
    </xf>
    <xf borderId="35" fillId="0" fontId="37" numFmtId="0" xfId="0" applyAlignment="1" applyBorder="1" applyFont="1">
      <alignment shrinkToFit="0" vertical="bottom" wrapText="0"/>
    </xf>
    <xf borderId="35" fillId="0" fontId="26" numFmtId="0" xfId="0" applyAlignment="1" applyBorder="1" applyFont="1">
      <alignment horizontal="center" shrinkToFit="0" vertical="bottom" wrapText="0"/>
    </xf>
    <xf borderId="36" fillId="0" fontId="3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全真標準細明"/>
        <a:ea typeface="全真標準細明"/>
        <a:cs typeface="全真標準細明"/>
      </a:majorFont>
      <a:minorFont>
        <a:latin typeface="全真標準細明"/>
        <a:ea typeface="全真標準細明"/>
        <a:cs typeface="全真標準細明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4.22"/>
    <col customWidth="1" min="2" max="2" width="10.78"/>
    <col customWidth="1" min="3" max="3" width="13.89"/>
    <col customWidth="1" min="4" max="4" width="14.67"/>
    <col customWidth="1" min="5" max="5" width="12.67"/>
    <col customWidth="1" min="6" max="6" width="14.67"/>
    <col customWidth="1" min="7" max="7" width="12.67"/>
    <col customWidth="1" min="8" max="8" width="12.44"/>
    <col customWidth="1" min="9" max="9" width="14.11"/>
    <col customWidth="1" min="10" max="10" width="12.44"/>
    <col customWidth="1" min="11" max="11" width="13.11"/>
    <col customWidth="1" min="12" max="12" width="11.78"/>
    <col customWidth="1" min="13" max="13" width="15.22"/>
    <col customWidth="1" min="14" max="14" width="14.0"/>
    <col customWidth="1" min="15" max="15" width="15.22"/>
    <col customWidth="1" min="16" max="16" width="14.11"/>
    <col customWidth="1" min="17" max="18" width="14.67"/>
    <col customWidth="1" min="19" max="19" width="14.11"/>
    <col customWidth="1" min="20" max="20" width="14.0"/>
    <col customWidth="1" min="21" max="21" width="12.22"/>
    <col customWidth="1" min="22" max="22" width="14.0"/>
    <col customWidth="1" min="23" max="23" width="11.22"/>
    <col customWidth="1" min="24" max="24" width="12.22"/>
    <col customWidth="1" min="25" max="25" width="11.89"/>
    <col customWidth="1" min="26" max="26" width="14.0"/>
    <col customWidth="1" min="27" max="27" width="15.11"/>
    <col customWidth="1" min="28" max="28" width="14.11"/>
    <col customWidth="1" min="29" max="29" width="14.0"/>
    <col customWidth="1" min="30" max="30" width="12.22"/>
    <col customWidth="1" min="31" max="31" width="14.22"/>
    <col customWidth="1" min="32" max="32" width="12.56"/>
    <col customWidth="1" min="33" max="33" width="14.0"/>
    <col customWidth="1" min="34" max="34" width="10.56"/>
    <col customWidth="1" min="35" max="35" width="12.78"/>
    <col customWidth="1" min="36" max="36" width="12.22"/>
    <col customWidth="1" min="37" max="37" width="16.22"/>
    <col customWidth="1" min="38" max="44" width="8.89"/>
  </cols>
  <sheetData>
    <row r="1" ht="17.25" hidden="1" customHeight="1">
      <c r="A1" s="1"/>
      <c r="B1" s="2"/>
      <c r="C1" s="3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>
        <v>2000.0</v>
      </c>
      <c r="X1" s="1">
        <v>2100.0</v>
      </c>
      <c r="Y1" s="1">
        <v>2200.0</v>
      </c>
      <c r="Z1" s="1" t="s">
        <v>20</v>
      </c>
      <c r="AA1" s="1">
        <v>2400.0</v>
      </c>
      <c r="AB1" s="1">
        <v>2500.0</v>
      </c>
      <c r="AC1" s="1">
        <v>2600.0</v>
      </c>
      <c r="AD1" s="1">
        <v>2700.0</v>
      </c>
      <c r="AE1" s="1" t="s">
        <v>21</v>
      </c>
      <c r="AF1" s="1" t="s">
        <v>22</v>
      </c>
      <c r="AG1" s="1"/>
      <c r="AH1" s="1"/>
      <c r="AI1" s="1"/>
      <c r="AJ1" s="1">
        <v>9900.0</v>
      </c>
      <c r="AK1" s="4"/>
      <c r="AL1" s="5"/>
      <c r="AM1" s="5"/>
      <c r="AN1" s="5"/>
      <c r="AO1" s="5"/>
      <c r="AP1" s="5"/>
      <c r="AQ1" s="5"/>
      <c r="AR1" s="5"/>
    </row>
    <row r="2" ht="34.5" customHeight="1">
      <c r="A2" s="6" t="s">
        <v>23</v>
      </c>
      <c r="B2" s="7" t="s">
        <v>24</v>
      </c>
      <c r="C2" s="8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9" t="s">
        <v>38</v>
      </c>
      <c r="Q2" s="9" t="s">
        <v>39</v>
      </c>
      <c r="R2" s="9" t="s">
        <v>40</v>
      </c>
      <c r="S2" s="9" t="s">
        <v>41</v>
      </c>
      <c r="T2" s="9" t="s">
        <v>42</v>
      </c>
      <c r="U2" s="9" t="s">
        <v>43</v>
      </c>
      <c r="V2" s="9" t="s">
        <v>44</v>
      </c>
      <c r="W2" s="9" t="s">
        <v>45</v>
      </c>
      <c r="X2" s="9" t="s">
        <v>46</v>
      </c>
      <c r="Y2" s="9" t="s">
        <v>47</v>
      </c>
      <c r="Z2" s="9" t="s">
        <v>48</v>
      </c>
      <c r="AA2" s="9" t="s">
        <v>49</v>
      </c>
      <c r="AB2" s="9" t="s">
        <v>50</v>
      </c>
      <c r="AC2" s="9" t="s">
        <v>51</v>
      </c>
      <c r="AD2" s="9" t="s">
        <v>52</v>
      </c>
      <c r="AE2" s="9" t="s">
        <v>53</v>
      </c>
      <c r="AF2" s="9" t="s">
        <v>54</v>
      </c>
      <c r="AG2" s="10" t="s">
        <v>55</v>
      </c>
      <c r="AH2" s="10" t="s">
        <v>56</v>
      </c>
      <c r="AI2" s="11" t="s">
        <v>57</v>
      </c>
      <c r="AJ2" s="9" t="s">
        <v>58</v>
      </c>
      <c r="AK2" s="12" t="s">
        <v>59</v>
      </c>
      <c r="AL2" s="13"/>
      <c r="AM2" s="13"/>
      <c r="AN2" s="13"/>
      <c r="AO2" s="13"/>
      <c r="AP2" s="13"/>
      <c r="AQ2" s="13"/>
      <c r="AR2" s="13"/>
    </row>
    <row r="3" ht="22.5" customHeight="1">
      <c r="A3" s="14" t="s">
        <v>60</v>
      </c>
      <c r="B3" s="15" t="s">
        <v>61</v>
      </c>
      <c r="C3" s="16" t="s">
        <v>62</v>
      </c>
      <c r="D3" s="17">
        <v>8.6311063E7</v>
      </c>
      <c r="E3" s="17">
        <v>-19246.0</v>
      </c>
      <c r="F3" s="17">
        <v>2625383.0</v>
      </c>
      <c r="G3" s="17">
        <v>-1471.0</v>
      </c>
      <c r="H3" s="17">
        <v>485945.0</v>
      </c>
      <c r="I3" s="17">
        <v>2.1439304E7</v>
      </c>
      <c r="J3" s="17">
        <v>1.6000449E7</v>
      </c>
      <c r="K3" s="17">
        <v>629521.0</v>
      </c>
      <c r="L3" s="17">
        <v>820658.0</v>
      </c>
      <c r="M3" s="17">
        <v>2.68696228E8</v>
      </c>
      <c r="N3" s="17">
        <v>8397217.0</v>
      </c>
      <c r="O3" s="17">
        <v>5.64422776E8</v>
      </c>
      <c r="P3" s="17">
        <v>1.07339443E8</v>
      </c>
      <c r="Q3" s="17">
        <v>9.300805E7</v>
      </c>
      <c r="R3" s="17">
        <v>1.5189994E7</v>
      </c>
      <c r="S3" s="17">
        <v>5.5237289E7</v>
      </c>
      <c r="T3" s="17">
        <v>6.1087257E7</v>
      </c>
      <c r="U3" s="17">
        <v>2411440.0</v>
      </c>
      <c r="V3" s="17">
        <v>4.6911029E7</v>
      </c>
      <c r="W3" s="17">
        <v>447586.0</v>
      </c>
      <c r="X3" s="17">
        <v>2334390.0</v>
      </c>
      <c r="Y3" s="17">
        <v>0.0</v>
      </c>
      <c r="Z3" s="17">
        <v>6224521.0</v>
      </c>
      <c r="AA3" s="17">
        <v>1.58015657E8</v>
      </c>
      <c r="AB3" s="17">
        <v>1.9139376E7</v>
      </c>
      <c r="AC3" s="17">
        <v>5.1294098E7</v>
      </c>
      <c r="AD3" s="17">
        <v>9741033.0</v>
      </c>
      <c r="AE3" s="17">
        <v>2.0115492E7</v>
      </c>
      <c r="AF3" s="17">
        <v>2.0759064E7</v>
      </c>
      <c r="AG3" s="17">
        <v>3.6516642E7</v>
      </c>
      <c r="AH3" s="17">
        <v>0.0</v>
      </c>
      <c r="AI3" s="17">
        <v>1006055.0</v>
      </c>
      <c r="AJ3" s="17">
        <v>57202.0</v>
      </c>
      <c r="AK3" s="18">
        <f t="shared" ref="AK3:AK21" si="1">SUM(D3:AJ3)</f>
        <v>1676643445</v>
      </c>
      <c r="AL3" s="5"/>
      <c r="AM3" s="5"/>
      <c r="AN3" s="5"/>
      <c r="AO3" s="5"/>
      <c r="AP3" s="5"/>
      <c r="AQ3" s="5"/>
      <c r="AR3" s="5"/>
    </row>
    <row r="4" ht="22.5" customHeight="1">
      <c r="A4" s="14" t="s">
        <v>63</v>
      </c>
      <c r="B4" s="15" t="s">
        <v>61</v>
      </c>
      <c r="C4" s="16" t="s">
        <v>64</v>
      </c>
      <c r="D4" s="19">
        <v>7.052526861E7</v>
      </c>
      <c r="E4" s="19">
        <v>-4068.0</v>
      </c>
      <c r="F4" s="19">
        <v>6.094772496999997E7</v>
      </c>
      <c r="G4" s="19">
        <v>0.0</v>
      </c>
      <c r="H4" s="19">
        <v>-420735.0</v>
      </c>
      <c r="I4" s="19">
        <v>3.0271693470000006E7</v>
      </c>
      <c r="J4" s="19">
        <v>1.5406837E7</v>
      </c>
      <c r="K4" s="19">
        <v>2805160.0</v>
      </c>
      <c r="L4" s="19">
        <v>1.2509798E7</v>
      </c>
      <c r="M4" s="19">
        <v>4.0956687486E8</v>
      </c>
      <c r="N4" s="19">
        <v>1.366734725E7</v>
      </c>
      <c r="O4" s="19">
        <v>3.2272711088E8</v>
      </c>
      <c r="P4" s="19">
        <v>4.499941468E7</v>
      </c>
      <c r="Q4" s="19">
        <v>5.8366243E7</v>
      </c>
      <c r="R4" s="19">
        <v>7095319.0</v>
      </c>
      <c r="S4" s="19">
        <v>2.1690368E7</v>
      </c>
      <c r="T4" s="19">
        <v>1.1262446791000003E8</v>
      </c>
      <c r="U4" s="19">
        <v>1.3546634E7</v>
      </c>
      <c r="V4" s="19">
        <v>1.20183253E8</v>
      </c>
      <c r="W4" s="19">
        <v>4112105.0</v>
      </c>
      <c r="X4" s="19">
        <v>3477547.7600000002</v>
      </c>
      <c r="Y4" s="17">
        <v>-537872.0</v>
      </c>
      <c r="Z4" s="19">
        <v>3.2935473150000006E7</v>
      </c>
      <c r="AA4" s="19">
        <v>9.867008108999999E7</v>
      </c>
      <c r="AB4" s="19">
        <v>6.818604137000002E7</v>
      </c>
      <c r="AC4" s="19">
        <v>1.0245179E7</v>
      </c>
      <c r="AD4" s="19">
        <v>0.0</v>
      </c>
      <c r="AE4" s="19">
        <v>5.100604855E7</v>
      </c>
      <c r="AF4" s="19">
        <v>1.8192839E7</v>
      </c>
      <c r="AG4" s="19">
        <v>2.374968E7</v>
      </c>
      <c r="AH4" s="17">
        <v>54687.0</v>
      </c>
      <c r="AI4" s="19">
        <v>392313.0</v>
      </c>
      <c r="AJ4" s="19">
        <v>4.349546E7</v>
      </c>
      <c r="AK4" s="18">
        <f t="shared" si="1"/>
        <v>1670488295</v>
      </c>
      <c r="AL4" s="5"/>
      <c r="AM4" s="5"/>
      <c r="AN4" s="5"/>
      <c r="AO4" s="5"/>
      <c r="AP4" s="5"/>
      <c r="AQ4" s="5"/>
      <c r="AR4" s="5"/>
    </row>
    <row r="5" ht="22.5" customHeight="1">
      <c r="A5" s="14" t="s">
        <v>65</v>
      </c>
      <c r="B5" s="15" t="s">
        <v>61</v>
      </c>
      <c r="C5" s="16" t="s">
        <v>66</v>
      </c>
      <c r="D5" s="17">
        <v>7.0317321E7</v>
      </c>
      <c r="E5" s="17">
        <v>-5285.0</v>
      </c>
      <c r="F5" s="17">
        <v>2.5596472920000005E8</v>
      </c>
      <c r="G5" s="17">
        <v>0.0</v>
      </c>
      <c r="H5" s="17">
        <v>1.0091391535E8</v>
      </c>
      <c r="I5" s="17">
        <v>2.0589423532000005E8</v>
      </c>
      <c r="J5" s="17">
        <v>8885317.669999987</v>
      </c>
      <c r="K5" s="17">
        <v>8352721.140000001</v>
      </c>
      <c r="L5" s="17">
        <v>2729734.650000006</v>
      </c>
      <c r="M5" s="17">
        <v>1.8253626E9</v>
      </c>
      <c r="N5" s="17">
        <v>7.0210998E7</v>
      </c>
      <c r="O5" s="17">
        <v>2.994775865E9</v>
      </c>
      <c r="P5" s="17">
        <v>6.56517992E8</v>
      </c>
      <c r="Q5" s="17">
        <v>4.5827222E8</v>
      </c>
      <c r="R5" s="17">
        <v>8.1342179E7</v>
      </c>
      <c r="S5" s="17">
        <v>6.42426561E8</v>
      </c>
      <c r="T5" s="17">
        <v>1.07308604225E9</v>
      </c>
      <c r="U5" s="17">
        <v>1.1452935974E8</v>
      </c>
      <c r="V5" s="17">
        <v>2.2747526378999996E8</v>
      </c>
      <c r="W5" s="17">
        <v>4327491.0</v>
      </c>
      <c r="X5" s="17">
        <v>1.6022156E7</v>
      </c>
      <c r="Y5" s="17">
        <v>1019788.6099999994</v>
      </c>
      <c r="Z5" s="17">
        <v>2.4488394037E8</v>
      </c>
      <c r="AA5" s="17">
        <v>2.054719954E9</v>
      </c>
      <c r="AB5" s="17">
        <v>1.1519950592000008E8</v>
      </c>
      <c r="AC5" s="17">
        <v>4.72061336E8</v>
      </c>
      <c r="AD5" s="17">
        <v>8051058.0</v>
      </c>
      <c r="AE5" s="17">
        <v>1.0197428086000001E8</v>
      </c>
      <c r="AF5" s="17">
        <v>2.2355529E7</v>
      </c>
      <c r="AG5" s="17">
        <v>8.27747829E8</v>
      </c>
      <c r="AH5" s="17">
        <v>0.0</v>
      </c>
      <c r="AI5" s="17">
        <v>3.2675497E7</v>
      </c>
      <c r="AJ5" s="17">
        <v>8.971465233E7</v>
      </c>
      <c r="AK5" s="18">
        <f t="shared" si="1"/>
        <v>12787804788</v>
      </c>
      <c r="AL5" s="5"/>
      <c r="AM5" s="5"/>
      <c r="AN5" s="5"/>
      <c r="AO5" s="5"/>
      <c r="AP5" s="5"/>
      <c r="AQ5" s="5"/>
      <c r="AR5" s="5"/>
    </row>
    <row r="6" ht="22.5" customHeight="1">
      <c r="A6" s="14" t="s">
        <v>67</v>
      </c>
      <c r="B6" s="15" t="s">
        <v>61</v>
      </c>
      <c r="C6" s="16" t="s">
        <v>68</v>
      </c>
      <c r="D6" s="17">
        <v>1.1585999E7</v>
      </c>
      <c r="E6" s="17">
        <v>-13203.0</v>
      </c>
      <c r="F6" s="17">
        <v>1.10340806E8</v>
      </c>
      <c r="G6" s="17">
        <v>0.0</v>
      </c>
      <c r="H6" s="17">
        <v>1.8764186E7</v>
      </c>
      <c r="I6" s="17">
        <v>3.7792634E7</v>
      </c>
      <c r="J6" s="17">
        <v>14592.0</v>
      </c>
      <c r="K6" s="17">
        <v>24160.0</v>
      </c>
      <c r="L6" s="17">
        <v>26.0</v>
      </c>
      <c r="M6" s="17">
        <v>1.382746355E9</v>
      </c>
      <c r="N6" s="17">
        <v>6699297.0</v>
      </c>
      <c r="O6" s="17">
        <v>7.78589965E8</v>
      </c>
      <c r="P6" s="17">
        <v>3.6340217E7</v>
      </c>
      <c r="Q6" s="17">
        <v>1.11188006E8</v>
      </c>
      <c r="R6" s="17">
        <v>1.3517129E7</v>
      </c>
      <c r="S6" s="17">
        <v>1.8370804E7</v>
      </c>
      <c r="T6" s="17">
        <v>1.26063151E8</v>
      </c>
      <c r="U6" s="17">
        <v>1.1779813E7</v>
      </c>
      <c r="V6" s="17">
        <v>1.12365322E8</v>
      </c>
      <c r="W6" s="17">
        <v>87987.0</v>
      </c>
      <c r="X6" s="17">
        <v>1699408.0</v>
      </c>
      <c r="Y6" s="17">
        <v>0.0</v>
      </c>
      <c r="Z6" s="17">
        <v>2644271.0</v>
      </c>
      <c r="AA6" s="17">
        <v>1.81051884E8</v>
      </c>
      <c r="AB6" s="17">
        <v>5.5248261E7</v>
      </c>
      <c r="AC6" s="17">
        <v>3944661.0</v>
      </c>
      <c r="AD6" s="17">
        <v>1993501.0</v>
      </c>
      <c r="AE6" s="17">
        <v>5.1697356E7</v>
      </c>
      <c r="AF6" s="17">
        <v>5008479.0</v>
      </c>
      <c r="AG6" s="17">
        <v>4.2425346E7</v>
      </c>
      <c r="AH6" s="17"/>
      <c r="AI6" s="17">
        <v>375219.0</v>
      </c>
      <c r="AJ6" s="17">
        <v>2173666.0</v>
      </c>
      <c r="AK6" s="18">
        <f t="shared" si="1"/>
        <v>3124519298</v>
      </c>
      <c r="AL6" s="5"/>
      <c r="AM6" s="5"/>
      <c r="AN6" s="5"/>
      <c r="AO6" s="5"/>
      <c r="AP6" s="5"/>
      <c r="AQ6" s="5"/>
      <c r="AR6" s="5"/>
    </row>
    <row r="7" ht="22.5" customHeight="1">
      <c r="A7" s="14" t="s">
        <v>69</v>
      </c>
      <c r="B7" s="15" t="s">
        <v>61</v>
      </c>
      <c r="C7" s="16" t="s">
        <v>70</v>
      </c>
      <c r="D7" s="17">
        <v>1.6623117E7</v>
      </c>
      <c r="E7" s="17">
        <v>76.0</v>
      </c>
      <c r="F7" s="17">
        <v>1.74299728E8</v>
      </c>
      <c r="G7" s="17">
        <v>0.0</v>
      </c>
      <c r="H7" s="17">
        <v>2.0451686E7</v>
      </c>
      <c r="I7" s="17">
        <v>2.5232927E7</v>
      </c>
      <c r="J7" s="17">
        <v>3162183.0</v>
      </c>
      <c r="K7" s="17">
        <v>6439831.0</v>
      </c>
      <c r="L7" s="17">
        <v>0.0</v>
      </c>
      <c r="M7" s="17">
        <v>6.05951046E8</v>
      </c>
      <c r="N7" s="17">
        <v>1.0849889E7</v>
      </c>
      <c r="O7" s="17">
        <v>6.60868051E8</v>
      </c>
      <c r="P7" s="17">
        <v>5.2769665E7</v>
      </c>
      <c r="Q7" s="17">
        <v>1.27393946E8</v>
      </c>
      <c r="R7" s="17">
        <v>1.2870377E7</v>
      </c>
      <c r="S7" s="17">
        <v>6.4447852E7</v>
      </c>
      <c r="T7" s="17">
        <v>1.84406422E8</v>
      </c>
      <c r="U7" s="17">
        <v>4393595.0</v>
      </c>
      <c r="V7" s="17">
        <v>1.21634108E8</v>
      </c>
      <c r="W7" s="17">
        <v>655117.0</v>
      </c>
      <c r="X7" s="17">
        <v>1281043.0</v>
      </c>
      <c r="Y7" s="17">
        <v>0.0</v>
      </c>
      <c r="Z7" s="17">
        <v>3139090.0</v>
      </c>
      <c r="AA7" s="17">
        <v>2.09063283E8</v>
      </c>
      <c r="AB7" s="17">
        <v>2.6304297E7</v>
      </c>
      <c r="AC7" s="17">
        <v>5.6128997E7</v>
      </c>
      <c r="AD7" s="17">
        <v>362429.0</v>
      </c>
      <c r="AE7" s="17">
        <v>2.4223478E7</v>
      </c>
      <c r="AF7" s="17">
        <v>9720208.0</v>
      </c>
      <c r="AG7" s="17">
        <v>2.2025709E7</v>
      </c>
      <c r="AH7" s="17">
        <v>0.0</v>
      </c>
      <c r="AI7" s="17">
        <v>2429172.0</v>
      </c>
      <c r="AJ7" s="17">
        <v>0.0</v>
      </c>
      <c r="AK7" s="18">
        <f t="shared" si="1"/>
        <v>2447127322</v>
      </c>
      <c r="AL7" s="5"/>
      <c r="AM7" s="5"/>
      <c r="AN7" s="5"/>
      <c r="AO7" s="5"/>
      <c r="AP7" s="5"/>
      <c r="AQ7" s="5"/>
      <c r="AR7" s="5"/>
    </row>
    <row r="8" ht="22.5" customHeight="1">
      <c r="A8" s="14" t="s">
        <v>71</v>
      </c>
      <c r="B8" s="15" t="s">
        <v>61</v>
      </c>
      <c r="C8" s="16" t="s">
        <v>72</v>
      </c>
      <c r="D8" s="17">
        <v>4.212034E7</v>
      </c>
      <c r="E8" s="17">
        <v>746.0</v>
      </c>
      <c r="F8" s="17">
        <v>1.27787712E8</v>
      </c>
      <c r="G8" s="17">
        <v>0.0</v>
      </c>
      <c r="H8" s="17">
        <v>2.102777E7</v>
      </c>
      <c r="I8" s="17">
        <v>4.7332373E7</v>
      </c>
      <c r="J8" s="17">
        <v>159986.0</v>
      </c>
      <c r="K8" s="17">
        <v>2.650603E7</v>
      </c>
      <c r="L8" s="17">
        <v>-29507.0</v>
      </c>
      <c r="M8" s="17">
        <v>7.81592636E8</v>
      </c>
      <c r="N8" s="17">
        <v>3.3393441E7</v>
      </c>
      <c r="O8" s="17">
        <v>7.73191743E8</v>
      </c>
      <c r="P8" s="17">
        <v>1.19709612E8</v>
      </c>
      <c r="Q8" s="17">
        <v>1.55771054E8</v>
      </c>
      <c r="R8" s="17">
        <v>2.0947598E7</v>
      </c>
      <c r="S8" s="17">
        <v>6.2881172E7</v>
      </c>
      <c r="T8" s="17">
        <v>2.41814168E8</v>
      </c>
      <c r="U8" s="17">
        <v>2.9021596E7</v>
      </c>
      <c r="V8" s="17">
        <v>8.4204258E7</v>
      </c>
      <c r="W8" s="17">
        <v>701661.0</v>
      </c>
      <c r="X8" s="17">
        <v>4146930.0</v>
      </c>
      <c r="Y8" s="17">
        <v>-4017356.0</v>
      </c>
      <c r="Z8" s="17">
        <v>5.3111329E7</v>
      </c>
      <c r="AA8" s="17">
        <v>1.61237056E8</v>
      </c>
      <c r="AB8" s="17">
        <v>2.1682396E7</v>
      </c>
      <c r="AC8" s="17">
        <v>3.7117064E7</v>
      </c>
      <c r="AD8" s="17">
        <v>12673.0</v>
      </c>
      <c r="AE8" s="17">
        <v>3.3982837E7</v>
      </c>
      <c r="AF8" s="17">
        <v>1.5998817E7</v>
      </c>
      <c r="AG8" s="17">
        <v>1.263426E7</v>
      </c>
      <c r="AH8" s="17">
        <v>0.0</v>
      </c>
      <c r="AI8" s="17">
        <v>3505792.0</v>
      </c>
      <c r="AJ8" s="17">
        <v>0.0</v>
      </c>
      <c r="AK8" s="18">
        <f t="shared" si="1"/>
        <v>2907546187</v>
      </c>
      <c r="AL8" s="5"/>
      <c r="AM8" s="5"/>
      <c r="AN8" s="5"/>
      <c r="AO8" s="5"/>
      <c r="AP8" s="5"/>
      <c r="AQ8" s="5"/>
      <c r="AR8" s="5"/>
    </row>
    <row r="9" ht="22.5" customHeight="1">
      <c r="A9" s="14" t="s">
        <v>73</v>
      </c>
      <c r="B9" s="15" t="s">
        <v>61</v>
      </c>
      <c r="C9" s="16" t="s">
        <v>74</v>
      </c>
      <c r="D9" s="17">
        <v>1.1482921E7</v>
      </c>
      <c r="E9" s="17">
        <v>-4022.0</v>
      </c>
      <c r="F9" s="17">
        <v>4.7137294E7</v>
      </c>
      <c r="G9" s="17">
        <v>0.0</v>
      </c>
      <c r="H9" s="17">
        <v>2013246.0</v>
      </c>
      <c r="I9" s="17">
        <v>2.5552644E7</v>
      </c>
      <c r="J9" s="17">
        <v>0.0</v>
      </c>
      <c r="K9" s="17">
        <v>0.0</v>
      </c>
      <c r="L9" s="17">
        <v>0.0</v>
      </c>
      <c r="M9" s="17">
        <v>5.17904343E8</v>
      </c>
      <c r="N9" s="17">
        <v>0.0</v>
      </c>
      <c r="O9" s="17">
        <v>8.24896775E8</v>
      </c>
      <c r="P9" s="17">
        <v>15358.0</v>
      </c>
      <c r="Q9" s="17">
        <v>9.448446E7</v>
      </c>
      <c r="R9" s="17">
        <v>5867698.0</v>
      </c>
      <c r="S9" s="17">
        <v>8.9642245E7</v>
      </c>
      <c r="T9" s="17">
        <v>2.06599248E8</v>
      </c>
      <c r="U9" s="17">
        <v>6547647.0</v>
      </c>
      <c r="V9" s="17">
        <v>4.1342401E7</v>
      </c>
      <c r="W9" s="17">
        <v>0.0</v>
      </c>
      <c r="X9" s="17">
        <v>2976491.0</v>
      </c>
      <c r="Y9" s="17">
        <v>0.0</v>
      </c>
      <c r="Z9" s="17">
        <v>4.6857206E7</v>
      </c>
      <c r="AA9" s="17">
        <v>2.14621549E8</v>
      </c>
      <c r="AB9" s="17">
        <v>1.3803733E7</v>
      </c>
      <c r="AC9" s="17">
        <v>1.98634361E8</v>
      </c>
      <c r="AD9" s="17">
        <v>1.046028E7</v>
      </c>
      <c r="AE9" s="17">
        <v>7506592.0</v>
      </c>
      <c r="AF9" s="17">
        <v>4478421.0</v>
      </c>
      <c r="AG9" s="17">
        <v>8.1882942E7</v>
      </c>
      <c r="AH9" s="17">
        <v>0.0</v>
      </c>
      <c r="AI9" s="17">
        <v>1234342.0</v>
      </c>
      <c r="AJ9" s="17">
        <v>0.0</v>
      </c>
      <c r="AK9" s="18">
        <f t="shared" si="1"/>
        <v>2455938175</v>
      </c>
      <c r="AL9" s="5"/>
      <c r="AM9" s="5"/>
      <c r="AN9" s="5"/>
      <c r="AO9" s="5"/>
      <c r="AP9" s="5"/>
      <c r="AQ9" s="5"/>
      <c r="AR9" s="5"/>
    </row>
    <row r="10" ht="22.5" customHeight="1">
      <c r="A10" s="14" t="s">
        <v>75</v>
      </c>
      <c r="B10" s="15" t="s">
        <v>61</v>
      </c>
      <c r="C10" s="16" t="s">
        <v>76</v>
      </c>
      <c r="D10" s="17">
        <v>3.3953949E7</v>
      </c>
      <c r="E10" s="17">
        <v>-716.0</v>
      </c>
      <c r="F10" s="17">
        <v>8.534233E7</v>
      </c>
      <c r="G10" s="17">
        <v>0.0</v>
      </c>
      <c r="H10" s="17">
        <v>4283413.0</v>
      </c>
      <c r="I10" s="17">
        <v>7.6702314E7</v>
      </c>
      <c r="J10" s="17">
        <v>3033440.0</v>
      </c>
      <c r="K10" s="17">
        <v>3361403.0</v>
      </c>
      <c r="L10" s="17">
        <v>-177532.0</v>
      </c>
      <c r="M10" s="17">
        <v>4.80185783E8</v>
      </c>
      <c r="N10" s="17">
        <v>3690046.0</v>
      </c>
      <c r="O10" s="17">
        <v>5.30857352E8</v>
      </c>
      <c r="P10" s="17">
        <v>1.7056555E7</v>
      </c>
      <c r="Q10" s="17">
        <v>1.07218866E8</v>
      </c>
      <c r="R10" s="17">
        <v>9058770.0</v>
      </c>
      <c r="S10" s="17">
        <v>3.9438638E7</v>
      </c>
      <c r="T10" s="17">
        <v>7.1480842E7</v>
      </c>
      <c r="U10" s="17">
        <v>3884200.0</v>
      </c>
      <c r="V10" s="17">
        <v>3.1878598E7</v>
      </c>
      <c r="W10" s="17">
        <v>373952.0</v>
      </c>
      <c r="X10" s="17">
        <v>3105206.0</v>
      </c>
      <c r="Y10" s="17">
        <v>0.0</v>
      </c>
      <c r="Z10" s="17">
        <v>1.3479552E7</v>
      </c>
      <c r="AA10" s="17">
        <v>1.27062786E8</v>
      </c>
      <c r="AB10" s="17">
        <v>4.2591382E7</v>
      </c>
      <c r="AC10" s="17">
        <v>2.4242527E7</v>
      </c>
      <c r="AD10" s="17">
        <v>377948.0</v>
      </c>
      <c r="AE10" s="17">
        <v>3.2089091E7</v>
      </c>
      <c r="AF10" s="17">
        <v>9467805.0</v>
      </c>
      <c r="AG10" s="17">
        <v>1.03224112E8</v>
      </c>
      <c r="AH10" s="17">
        <v>0.0</v>
      </c>
      <c r="AI10" s="17">
        <v>1035158.0</v>
      </c>
      <c r="AJ10" s="17">
        <v>111512.0</v>
      </c>
      <c r="AK10" s="18">
        <f t="shared" si="1"/>
        <v>1858409282</v>
      </c>
      <c r="AL10" s="5"/>
      <c r="AM10" s="5"/>
      <c r="AN10" s="5"/>
      <c r="AO10" s="5"/>
      <c r="AP10" s="5"/>
      <c r="AQ10" s="5"/>
      <c r="AR10" s="5"/>
    </row>
    <row r="11" ht="22.5" customHeight="1">
      <c r="A11" s="14" t="s">
        <v>77</v>
      </c>
      <c r="B11" s="15" t="s">
        <v>61</v>
      </c>
      <c r="C11" s="16" t="s">
        <v>78</v>
      </c>
      <c r="D11" s="17">
        <v>3.1325806E7</v>
      </c>
      <c r="E11" s="17">
        <v>-7033.0</v>
      </c>
      <c r="F11" s="17">
        <v>9.2119429E7</v>
      </c>
      <c r="G11" s="17">
        <v>0.0</v>
      </c>
      <c r="H11" s="17">
        <v>6016727.0</v>
      </c>
      <c r="I11" s="17">
        <v>2.4710748E7</v>
      </c>
      <c r="J11" s="17">
        <v>51455.0</v>
      </c>
      <c r="K11" s="17">
        <v>2850928.0</v>
      </c>
      <c r="L11" s="17">
        <v>0.0</v>
      </c>
      <c r="M11" s="17">
        <v>7.71268407E8</v>
      </c>
      <c r="N11" s="17">
        <v>3.29462E7</v>
      </c>
      <c r="O11" s="17">
        <v>6.19248564E8</v>
      </c>
      <c r="P11" s="17">
        <v>2.03639068E8</v>
      </c>
      <c r="Q11" s="17">
        <v>1.47328574E8</v>
      </c>
      <c r="R11" s="17">
        <v>2.1720349E7</v>
      </c>
      <c r="S11" s="17">
        <v>3.681872E7</v>
      </c>
      <c r="T11" s="17">
        <v>1.89503532E8</v>
      </c>
      <c r="U11" s="17">
        <v>5695249.0</v>
      </c>
      <c r="V11" s="17">
        <v>1.57643072E8</v>
      </c>
      <c r="W11" s="17">
        <v>447603.0</v>
      </c>
      <c r="X11" s="17">
        <v>8654064.0</v>
      </c>
      <c r="Y11" s="17">
        <v>0.0</v>
      </c>
      <c r="Z11" s="17">
        <v>1.3122695E7</v>
      </c>
      <c r="AA11" s="17">
        <v>3.2802247E8</v>
      </c>
      <c r="AB11" s="17">
        <v>4.6811939E7</v>
      </c>
      <c r="AC11" s="17">
        <v>3.3677387E7</v>
      </c>
      <c r="AD11" s="17">
        <v>118128.0</v>
      </c>
      <c r="AE11" s="17">
        <v>4.5561773E7</v>
      </c>
      <c r="AF11" s="17">
        <v>1.0497547E7</v>
      </c>
      <c r="AG11" s="17">
        <v>3.9799061E7</v>
      </c>
      <c r="AH11" s="17"/>
      <c r="AI11" s="17">
        <v>1468059.0</v>
      </c>
      <c r="AJ11" s="17">
        <v>20257.0</v>
      </c>
      <c r="AK11" s="18">
        <f t="shared" si="1"/>
        <v>2871080778</v>
      </c>
      <c r="AL11" s="5"/>
      <c r="AM11" s="5"/>
      <c r="AN11" s="5"/>
      <c r="AO11" s="5"/>
      <c r="AP11" s="5"/>
      <c r="AQ11" s="5"/>
      <c r="AR11" s="5"/>
    </row>
    <row r="12" ht="22.5" customHeight="1">
      <c r="A12" s="14" t="s">
        <v>79</v>
      </c>
      <c r="B12" s="15" t="s">
        <v>61</v>
      </c>
      <c r="C12" s="16" t="s">
        <v>80</v>
      </c>
      <c r="D12" s="17">
        <v>4.5364726E7</v>
      </c>
      <c r="E12" s="17">
        <v>-3097.0</v>
      </c>
      <c r="F12" s="17">
        <v>2.7844847E8</v>
      </c>
      <c r="G12" s="17">
        <v>0.0</v>
      </c>
      <c r="H12" s="17">
        <v>2.0792738E7</v>
      </c>
      <c r="I12" s="17">
        <v>6.3772259E7</v>
      </c>
      <c r="J12" s="17">
        <v>5.5359882E7</v>
      </c>
      <c r="K12" s="17">
        <v>2.9158525E7</v>
      </c>
      <c r="L12" s="17">
        <v>7547695.0</v>
      </c>
      <c r="M12" s="17">
        <v>1.284064565E9</v>
      </c>
      <c r="N12" s="17">
        <v>4781728.0</v>
      </c>
      <c r="O12" s="17">
        <v>1.301149265E9</v>
      </c>
      <c r="P12" s="17">
        <v>7.071958E7</v>
      </c>
      <c r="Q12" s="17">
        <v>2.4234004E8</v>
      </c>
      <c r="R12" s="17">
        <v>1.6375121E7</v>
      </c>
      <c r="S12" s="17">
        <v>1.34673201E8</v>
      </c>
      <c r="T12" s="17">
        <v>3.72638905E8</v>
      </c>
      <c r="U12" s="17">
        <v>6.1778701E7</v>
      </c>
      <c r="V12" s="17">
        <v>4.98219954E8</v>
      </c>
      <c r="W12" s="17">
        <v>724303.0</v>
      </c>
      <c r="X12" s="17">
        <v>5474092.0</v>
      </c>
      <c r="Y12" s="17">
        <v>44240.0</v>
      </c>
      <c r="Z12" s="17">
        <v>1.01877806E8</v>
      </c>
      <c r="AA12" s="17">
        <v>4.51134289E8</v>
      </c>
      <c r="AB12" s="17">
        <v>1.99024326E8</v>
      </c>
      <c r="AC12" s="17">
        <v>1.2092359E8</v>
      </c>
      <c r="AD12" s="17">
        <v>1034193.0</v>
      </c>
      <c r="AE12" s="17">
        <v>1.36319581E8</v>
      </c>
      <c r="AF12" s="17">
        <v>1.3802965E7</v>
      </c>
      <c r="AG12" s="17">
        <v>1.636903E7</v>
      </c>
      <c r="AH12" s="17">
        <v>0.0</v>
      </c>
      <c r="AI12" s="17">
        <v>1590086.0</v>
      </c>
      <c r="AJ12" s="17">
        <v>465261.0</v>
      </c>
      <c r="AK12" s="18">
        <f t="shared" si="1"/>
        <v>5535966020</v>
      </c>
      <c r="AL12" s="5"/>
      <c r="AM12" s="5"/>
      <c r="AN12" s="5"/>
      <c r="AO12" s="5"/>
      <c r="AP12" s="5"/>
      <c r="AQ12" s="5"/>
      <c r="AR12" s="5"/>
    </row>
    <row r="13" ht="22.5" customHeight="1">
      <c r="A13" s="14" t="s">
        <v>81</v>
      </c>
      <c r="B13" s="15" t="s">
        <v>61</v>
      </c>
      <c r="C13" s="16" t="s">
        <v>82</v>
      </c>
      <c r="D13" s="17">
        <v>2.7967262E7</v>
      </c>
      <c r="E13" s="17">
        <v>-5544.0</v>
      </c>
      <c r="F13" s="17">
        <v>7.0498745E7</v>
      </c>
      <c r="G13" s="17">
        <v>672.0</v>
      </c>
      <c r="H13" s="17">
        <v>2705890.0</v>
      </c>
      <c r="I13" s="17">
        <v>2.9097716E7</v>
      </c>
      <c r="J13" s="17">
        <v>1805123.0</v>
      </c>
      <c r="K13" s="17">
        <v>4156812.0</v>
      </c>
      <c r="L13" s="17">
        <v>32073.0</v>
      </c>
      <c r="M13" s="17">
        <v>1.034066844E9</v>
      </c>
      <c r="N13" s="17">
        <v>2.7798091E7</v>
      </c>
      <c r="O13" s="17">
        <v>6.64173242E8</v>
      </c>
      <c r="P13" s="17">
        <v>1.89718885E8</v>
      </c>
      <c r="Q13" s="17">
        <v>1.46948902E8</v>
      </c>
      <c r="R13" s="17">
        <v>2.3672389E7</v>
      </c>
      <c r="S13" s="17">
        <v>5.0320873E7</v>
      </c>
      <c r="T13" s="17">
        <v>1.82360072E8</v>
      </c>
      <c r="U13" s="17">
        <v>1.3995805E7</v>
      </c>
      <c r="V13" s="17">
        <v>8.0029337E7</v>
      </c>
      <c r="W13" s="17">
        <v>492604.0</v>
      </c>
      <c r="X13" s="17">
        <v>1.3351184E7</v>
      </c>
      <c r="Y13" s="17">
        <v>36542.0</v>
      </c>
      <c r="Z13" s="17">
        <v>1.4128962E7</v>
      </c>
      <c r="AA13" s="17">
        <v>2.62905249E8</v>
      </c>
      <c r="AB13" s="17">
        <v>6.1321609E7</v>
      </c>
      <c r="AC13" s="17">
        <v>3.7638238E7</v>
      </c>
      <c r="AD13" s="17">
        <v>947909.0</v>
      </c>
      <c r="AE13" s="17">
        <v>5.3909118E7</v>
      </c>
      <c r="AF13" s="17">
        <v>1.9871569E7</v>
      </c>
      <c r="AG13" s="17">
        <v>2.1302506E7</v>
      </c>
      <c r="AH13" s="17">
        <v>0.0</v>
      </c>
      <c r="AI13" s="17">
        <v>1864083.0</v>
      </c>
      <c r="AJ13" s="17">
        <v>1.835901E7</v>
      </c>
      <c r="AK13" s="18">
        <f t="shared" si="1"/>
        <v>3055471772</v>
      </c>
      <c r="AL13" s="5"/>
      <c r="AM13" s="5"/>
      <c r="AN13" s="5"/>
      <c r="AO13" s="5"/>
      <c r="AP13" s="5"/>
      <c r="AQ13" s="5"/>
      <c r="AR13" s="5"/>
    </row>
    <row r="14" ht="22.5" customHeight="1">
      <c r="A14" s="14" t="s">
        <v>83</v>
      </c>
      <c r="B14" s="15" t="s">
        <v>61</v>
      </c>
      <c r="C14" s="16" t="s">
        <v>84</v>
      </c>
      <c r="D14" s="17">
        <v>5.2677491E7</v>
      </c>
      <c r="E14" s="17">
        <v>-4046.0</v>
      </c>
      <c r="F14" s="17">
        <v>1.36168995E8</v>
      </c>
      <c r="G14" s="17">
        <v>0.0</v>
      </c>
      <c r="H14" s="17">
        <v>5974953.0</v>
      </c>
      <c r="I14" s="17">
        <v>5.375378E7</v>
      </c>
      <c r="J14" s="17">
        <v>5586098.0</v>
      </c>
      <c r="K14" s="17">
        <v>1.6134684E7</v>
      </c>
      <c r="L14" s="17">
        <v>-589747.0</v>
      </c>
      <c r="M14" s="17">
        <v>1.286647355E9</v>
      </c>
      <c r="N14" s="17">
        <v>2.5051023E7</v>
      </c>
      <c r="O14" s="17">
        <v>2.500602738E9</v>
      </c>
      <c r="P14" s="17">
        <v>1.20263403E8</v>
      </c>
      <c r="Q14" s="17">
        <v>2.7940653E8</v>
      </c>
      <c r="R14" s="17">
        <v>2.3042688E7</v>
      </c>
      <c r="S14" s="17">
        <v>3.22665258E8</v>
      </c>
      <c r="T14" s="17">
        <v>5.49296894E8</v>
      </c>
      <c r="U14" s="17">
        <v>3.0847297E7</v>
      </c>
      <c r="V14" s="17">
        <v>8.009251E7</v>
      </c>
      <c r="W14" s="17">
        <v>710709.0</v>
      </c>
      <c r="X14" s="17">
        <v>9545075.0</v>
      </c>
      <c r="Y14" s="17">
        <v>-104547.0</v>
      </c>
      <c r="Z14" s="17">
        <v>7047764.0</v>
      </c>
      <c r="AA14" s="17">
        <v>8.52645002E8</v>
      </c>
      <c r="AB14" s="17">
        <v>8.5731162E7</v>
      </c>
      <c r="AC14" s="17">
        <v>3.62185704E8</v>
      </c>
      <c r="AD14" s="17">
        <v>0.0</v>
      </c>
      <c r="AE14" s="17">
        <v>6.7574553E7</v>
      </c>
      <c r="AF14" s="17">
        <v>1.616116E7</v>
      </c>
      <c r="AG14" s="17">
        <v>1.44020039E8</v>
      </c>
      <c r="AH14" s="17">
        <v>0.0</v>
      </c>
      <c r="AI14" s="17">
        <v>5835731.0</v>
      </c>
      <c r="AJ14" s="17">
        <v>0.0</v>
      </c>
      <c r="AK14" s="18">
        <f t="shared" si="1"/>
        <v>7038970256</v>
      </c>
      <c r="AL14" s="5"/>
      <c r="AM14" s="5"/>
      <c r="AN14" s="5"/>
      <c r="AO14" s="5"/>
      <c r="AP14" s="5"/>
      <c r="AQ14" s="5"/>
      <c r="AR14" s="5"/>
    </row>
    <row r="15" ht="22.5" customHeight="1">
      <c r="A15" s="14" t="s">
        <v>85</v>
      </c>
      <c r="B15" s="15" t="s">
        <v>61</v>
      </c>
      <c r="C15" s="16" t="s">
        <v>86</v>
      </c>
      <c r="D15" s="17">
        <v>2.531682E7</v>
      </c>
      <c r="E15" s="17">
        <v>0.0</v>
      </c>
      <c r="F15" s="17">
        <v>9.5465894E7</v>
      </c>
      <c r="G15" s="17">
        <v>0.0</v>
      </c>
      <c r="H15" s="17">
        <v>1.2027563E7</v>
      </c>
      <c r="I15" s="17">
        <v>3.3305887E7</v>
      </c>
      <c r="J15" s="17">
        <v>8825.0</v>
      </c>
      <c r="K15" s="17">
        <v>785673.0</v>
      </c>
      <c r="L15" s="17">
        <v>0.0</v>
      </c>
      <c r="M15" s="17">
        <v>1.226496455E9</v>
      </c>
      <c r="N15" s="17">
        <v>1.50499014E8</v>
      </c>
      <c r="O15" s="17">
        <v>1.630705434E9</v>
      </c>
      <c r="P15" s="17">
        <v>4.07436715E8</v>
      </c>
      <c r="Q15" s="17">
        <v>1.9957569E8</v>
      </c>
      <c r="R15" s="17">
        <v>3.176187E7</v>
      </c>
      <c r="S15" s="17">
        <v>7.3101256E7</v>
      </c>
      <c r="T15" s="17">
        <v>1.38531313E8</v>
      </c>
      <c r="U15" s="17">
        <v>9783393.0</v>
      </c>
      <c r="V15" s="17">
        <v>5.8095854E7</v>
      </c>
      <c r="W15" s="17">
        <v>1617116.0</v>
      </c>
      <c r="X15" s="17">
        <v>9721727.0</v>
      </c>
      <c r="Y15" s="17">
        <v>0.0</v>
      </c>
      <c r="Z15" s="17">
        <v>8.2587689E7</v>
      </c>
      <c r="AA15" s="17">
        <v>3.12034568E8</v>
      </c>
      <c r="AB15" s="17">
        <v>4.9245419E7</v>
      </c>
      <c r="AC15" s="17">
        <v>5.6743772E7</v>
      </c>
      <c r="AD15" s="17">
        <v>5797035.0</v>
      </c>
      <c r="AE15" s="17">
        <v>4.2499159E7</v>
      </c>
      <c r="AF15" s="17">
        <v>7755364.0</v>
      </c>
      <c r="AG15" s="17">
        <v>2.0985132E7</v>
      </c>
      <c r="AH15" s="17">
        <v>0.0</v>
      </c>
      <c r="AI15" s="17">
        <v>1367724.0</v>
      </c>
      <c r="AJ15" s="17">
        <v>224867.0</v>
      </c>
      <c r="AK15" s="18">
        <f t="shared" si="1"/>
        <v>4683477228</v>
      </c>
      <c r="AL15" s="5"/>
      <c r="AM15" s="5"/>
      <c r="AN15" s="5"/>
      <c r="AO15" s="5"/>
      <c r="AP15" s="5"/>
      <c r="AQ15" s="5"/>
      <c r="AR15" s="5"/>
    </row>
    <row r="16" ht="22.5" customHeight="1">
      <c r="A16" s="14">
        <v>18.0</v>
      </c>
      <c r="B16" s="15" t="s">
        <v>61</v>
      </c>
      <c r="C16" s="16" t="s">
        <v>87</v>
      </c>
      <c r="D16" s="17">
        <v>3.4722722E7</v>
      </c>
      <c r="E16" s="17">
        <v>0.0</v>
      </c>
      <c r="F16" s="17">
        <v>1996927.0</v>
      </c>
      <c r="G16" s="17">
        <v>0.0</v>
      </c>
      <c r="H16" s="17">
        <v>196049.0</v>
      </c>
      <c r="I16" s="17">
        <v>1664402.0</v>
      </c>
      <c r="J16" s="17">
        <v>0.0</v>
      </c>
      <c r="K16" s="17">
        <v>0.0</v>
      </c>
      <c r="L16" s="17">
        <v>0.0</v>
      </c>
      <c r="M16" s="17">
        <v>1.27408578E8</v>
      </c>
      <c r="N16" s="17">
        <v>2925387.0</v>
      </c>
      <c r="O16" s="17">
        <v>1.96418985E8</v>
      </c>
      <c r="P16" s="17">
        <v>1.9670278E7</v>
      </c>
      <c r="Q16" s="17">
        <v>3.1632527E7</v>
      </c>
      <c r="R16" s="17">
        <v>3564298.0</v>
      </c>
      <c r="S16" s="17">
        <v>2.4044229E7</v>
      </c>
      <c r="T16" s="17">
        <v>4.8532328E7</v>
      </c>
      <c r="U16" s="17">
        <v>1552619.0</v>
      </c>
      <c r="V16" s="17">
        <v>3.4666979E7</v>
      </c>
      <c r="W16" s="17">
        <v>86007.0</v>
      </c>
      <c r="X16" s="17">
        <v>2625240.0</v>
      </c>
      <c r="Y16" s="17">
        <v>0.0</v>
      </c>
      <c r="Z16" s="17">
        <v>1.0886016E7</v>
      </c>
      <c r="AA16" s="17">
        <v>5.3214533E7</v>
      </c>
      <c r="AB16" s="17">
        <v>8508591.0</v>
      </c>
      <c r="AC16" s="17">
        <v>5.5057926E7</v>
      </c>
      <c r="AD16" s="17">
        <v>706034.0</v>
      </c>
      <c r="AE16" s="17">
        <v>4202293.0</v>
      </c>
      <c r="AF16" s="17">
        <v>9496265.0</v>
      </c>
      <c r="AG16" s="17">
        <v>1.7502424E7</v>
      </c>
      <c r="AH16" s="17">
        <v>0.0</v>
      </c>
      <c r="AI16" s="17">
        <v>468785.0</v>
      </c>
      <c r="AJ16" s="17">
        <v>0.0</v>
      </c>
      <c r="AK16" s="18">
        <f t="shared" si="1"/>
        <v>691750422</v>
      </c>
      <c r="AL16" s="5"/>
      <c r="AM16" s="5"/>
      <c r="AN16" s="5"/>
      <c r="AO16" s="5"/>
      <c r="AP16" s="5"/>
      <c r="AQ16" s="5"/>
      <c r="AR16" s="5"/>
    </row>
    <row r="17" ht="22.5" customHeight="1">
      <c r="A17" s="14">
        <v>28.0</v>
      </c>
      <c r="B17" s="15" t="s">
        <v>61</v>
      </c>
      <c r="C17" s="16" t="s">
        <v>88</v>
      </c>
      <c r="D17" s="17">
        <v>0.0</v>
      </c>
      <c r="E17" s="17">
        <v>0.0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-4.5098954E7</v>
      </c>
      <c r="Z17" s="17">
        <v>0.0</v>
      </c>
      <c r="AA17" s="17">
        <v>0.0</v>
      </c>
      <c r="AB17" s="17">
        <v>0.0</v>
      </c>
      <c r="AC17" s="17">
        <v>0.0</v>
      </c>
      <c r="AD17" s="17">
        <v>0.0</v>
      </c>
      <c r="AE17" s="17">
        <v>0.0</v>
      </c>
      <c r="AF17" s="17">
        <v>0.0</v>
      </c>
      <c r="AG17" s="17">
        <v>0.0</v>
      </c>
      <c r="AH17" s="17">
        <v>0.0</v>
      </c>
      <c r="AI17" s="17">
        <v>0.0</v>
      </c>
      <c r="AJ17" s="17">
        <v>0.0</v>
      </c>
      <c r="AK17" s="18">
        <f t="shared" si="1"/>
        <v>-45098954</v>
      </c>
      <c r="AL17" s="5"/>
      <c r="AM17" s="5"/>
      <c r="AN17" s="5"/>
      <c r="AO17" s="5"/>
      <c r="AP17" s="5"/>
      <c r="AQ17" s="5"/>
      <c r="AR17" s="5"/>
    </row>
    <row r="18" ht="22.5" customHeight="1">
      <c r="A18" s="14">
        <v>29.0</v>
      </c>
      <c r="B18" s="15" t="s">
        <v>61</v>
      </c>
      <c r="C18" s="16" t="s">
        <v>89</v>
      </c>
      <c r="D18" s="17">
        <v>0.0</v>
      </c>
      <c r="E18" s="17">
        <v>0.0</v>
      </c>
      <c r="F18" s="17">
        <v>8599953.0</v>
      </c>
      <c r="G18" s="17">
        <v>0.0</v>
      </c>
      <c r="H18" s="17">
        <v>225309.0</v>
      </c>
      <c r="I18" s="17">
        <v>1.5826145E7</v>
      </c>
      <c r="J18" s="17">
        <v>372119.0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2.353909E7</v>
      </c>
      <c r="U18" s="17">
        <v>9541614.0</v>
      </c>
      <c r="V18" s="17">
        <v>980889.0</v>
      </c>
      <c r="W18" s="17">
        <v>0.0</v>
      </c>
      <c r="X18" s="17">
        <v>234647.0</v>
      </c>
      <c r="Y18" s="17">
        <v>8172832.0</v>
      </c>
      <c r="Z18" s="17">
        <v>3.506684E7</v>
      </c>
      <c r="AA18" s="17">
        <v>0.0</v>
      </c>
      <c r="AB18" s="17">
        <v>7779659.0</v>
      </c>
      <c r="AC18" s="17">
        <v>0.0</v>
      </c>
      <c r="AD18" s="17">
        <v>161487.0</v>
      </c>
      <c r="AE18" s="17">
        <v>4604355.0</v>
      </c>
      <c r="AF18" s="17">
        <v>0.0</v>
      </c>
      <c r="AG18" s="17">
        <v>0.0</v>
      </c>
      <c r="AH18" s="17">
        <v>0.0</v>
      </c>
      <c r="AI18" s="17">
        <v>0.0</v>
      </c>
      <c r="AJ18" s="17">
        <v>2637448.0</v>
      </c>
      <c r="AK18" s="18">
        <f t="shared" si="1"/>
        <v>117742387</v>
      </c>
      <c r="AL18" s="5"/>
      <c r="AM18" s="5"/>
      <c r="AN18" s="5"/>
      <c r="AO18" s="5"/>
      <c r="AP18" s="5"/>
      <c r="AQ18" s="5"/>
      <c r="AR18" s="5"/>
    </row>
    <row r="19" ht="22.5" customHeight="1">
      <c r="A19" s="14" t="s">
        <v>90</v>
      </c>
      <c r="B19" s="15" t="s">
        <v>61</v>
      </c>
      <c r="C19" s="16" t="s">
        <v>91</v>
      </c>
      <c r="D19" s="17">
        <v>5612248.0</v>
      </c>
      <c r="E19" s="17">
        <v>0.0</v>
      </c>
      <c r="F19" s="17">
        <v>8330467.0</v>
      </c>
      <c r="G19" s="17">
        <v>0.0</v>
      </c>
      <c r="H19" s="17">
        <v>2569238.0</v>
      </c>
      <c r="I19" s="17">
        <v>1.5807526E7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1143291.0</v>
      </c>
      <c r="R19" s="17">
        <v>193238.0</v>
      </c>
      <c r="S19" s="17">
        <v>900804.0</v>
      </c>
      <c r="T19" s="17">
        <v>2.06234819E8</v>
      </c>
      <c r="U19" s="17">
        <v>5.3284169E7</v>
      </c>
      <c r="V19" s="17">
        <v>5.5517506E7</v>
      </c>
      <c r="W19" s="17">
        <v>0.0</v>
      </c>
      <c r="X19" s="17">
        <v>5777.0</v>
      </c>
      <c r="Y19" s="17">
        <v>0.0</v>
      </c>
      <c r="Z19" s="17">
        <v>6.31261138E8</v>
      </c>
      <c r="AA19" s="17">
        <v>5.8161774E7</v>
      </c>
      <c r="AB19" s="17">
        <v>8551978.0</v>
      </c>
      <c r="AC19" s="17">
        <v>1.0564501E7</v>
      </c>
      <c r="AD19" s="17">
        <v>-1319436.0</v>
      </c>
      <c r="AE19" s="17">
        <v>2.1888857E7</v>
      </c>
      <c r="AF19" s="17">
        <v>2621577.0</v>
      </c>
      <c r="AG19" s="17">
        <v>3.978523E7</v>
      </c>
      <c r="AH19" s="17">
        <v>0.0</v>
      </c>
      <c r="AI19" s="17">
        <v>24314.0</v>
      </c>
      <c r="AJ19" s="17">
        <v>2.500794E7</v>
      </c>
      <c r="AK19" s="18">
        <f t="shared" si="1"/>
        <v>1146146956</v>
      </c>
      <c r="AL19" s="5"/>
      <c r="AM19" s="5"/>
      <c r="AN19" s="5"/>
      <c r="AO19" s="5"/>
      <c r="AP19" s="5"/>
      <c r="AQ19" s="5"/>
      <c r="AR19" s="5"/>
    </row>
    <row r="20" ht="22.5" customHeight="1">
      <c r="A20" s="14">
        <v>46.0</v>
      </c>
      <c r="B20" s="15" t="s">
        <v>61</v>
      </c>
      <c r="C20" s="16" t="s">
        <v>92</v>
      </c>
      <c r="D20" s="17">
        <v>3298147.0</v>
      </c>
      <c r="E20" s="17">
        <v>0.0</v>
      </c>
      <c r="F20" s="17">
        <v>0.0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0.0</v>
      </c>
      <c r="W20" s="17">
        <v>0.0</v>
      </c>
      <c r="X20" s="17">
        <v>0.0</v>
      </c>
      <c r="Y20" s="17">
        <v>0.0</v>
      </c>
      <c r="Z20" s="17">
        <v>0.0</v>
      </c>
      <c r="AA20" s="17">
        <v>1.6588832E7</v>
      </c>
      <c r="AB20" s="17">
        <v>0.0</v>
      </c>
      <c r="AC20" s="17">
        <v>0.0</v>
      </c>
      <c r="AD20" s="17">
        <v>0.0</v>
      </c>
      <c r="AE20" s="17">
        <v>0.0</v>
      </c>
      <c r="AF20" s="17">
        <v>1912223.0</v>
      </c>
      <c r="AG20" s="17">
        <v>5500350.0</v>
      </c>
      <c r="AH20" s="17">
        <v>0.0</v>
      </c>
      <c r="AI20" s="17">
        <v>0.0</v>
      </c>
      <c r="AJ20" s="17">
        <v>0.0</v>
      </c>
      <c r="AK20" s="18">
        <f t="shared" si="1"/>
        <v>27299552</v>
      </c>
      <c r="AL20" s="5"/>
      <c r="AM20" s="5"/>
      <c r="AN20" s="5"/>
      <c r="AO20" s="5"/>
      <c r="AP20" s="5"/>
      <c r="AQ20" s="5"/>
      <c r="AR20" s="5"/>
    </row>
    <row r="21" ht="22.5" customHeight="1">
      <c r="A21" s="20">
        <v>47.0</v>
      </c>
      <c r="B21" s="15" t="s">
        <v>61</v>
      </c>
      <c r="C21" s="16" t="s">
        <v>93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7553939.0</v>
      </c>
      <c r="Z21" s="17">
        <v>0.0</v>
      </c>
      <c r="AA21" s="17">
        <v>0.0</v>
      </c>
      <c r="AB21" s="17">
        <v>0.0</v>
      </c>
      <c r="AC21" s="17">
        <v>0.0</v>
      </c>
      <c r="AD21" s="17">
        <v>0.0</v>
      </c>
      <c r="AE21" s="17">
        <v>0.0</v>
      </c>
      <c r="AF21" s="17">
        <v>0.0</v>
      </c>
      <c r="AG21" s="17">
        <v>0.0</v>
      </c>
      <c r="AH21" s="17">
        <v>0.0</v>
      </c>
      <c r="AI21" s="17">
        <v>0.0</v>
      </c>
      <c r="AJ21" s="17">
        <v>0.0</v>
      </c>
      <c r="AK21" s="18">
        <f t="shared" si="1"/>
        <v>7553939</v>
      </c>
      <c r="AL21" s="5"/>
      <c r="AM21" s="5"/>
      <c r="AN21" s="5"/>
      <c r="AO21" s="5"/>
      <c r="AP21" s="5"/>
      <c r="AQ21" s="5"/>
      <c r="AR21" s="5"/>
    </row>
    <row r="22" ht="22.5" customHeight="1">
      <c r="A22" s="14"/>
      <c r="B22" s="15" t="s">
        <v>61</v>
      </c>
      <c r="C22" s="16" t="s">
        <v>94</v>
      </c>
      <c r="D22" s="18">
        <f t="shared" ref="D22:AK22" si="2">SUBTOTAL(9,D3:D21)</f>
        <v>569205200.6</v>
      </c>
      <c r="E22" s="18">
        <f t="shared" si="2"/>
        <v>-65438</v>
      </c>
      <c r="F22" s="18">
        <f t="shared" si="2"/>
        <v>1556074587</v>
      </c>
      <c r="G22" s="18">
        <f t="shared" si="2"/>
        <v>-799</v>
      </c>
      <c r="H22" s="18">
        <f t="shared" si="2"/>
        <v>218027893.4</v>
      </c>
      <c r="I22" s="18">
        <f t="shared" si="2"/>
        <v>708156587.8</v>
      </c>
      <c r="J22" s="18">
        <f t="shared" si="2"/>
        <v>109846306.7</v>
      </c>
      <c r="K22" s="18">
        <f t="shared" si="2"/>
        <v>101205448.1</v>
      </c>
      <c r="L22" s="18">
        <f t="shared" si="2"/>
        <v>22843198.65</v>
      </c>
      <c r="M22" s="18">
        <f t="shared" si="2"/>
        <v>12001958070</v>
      </c>
      <c r="N22" s="18">
        <f t="shared" si="2"/>
        <v>390909678.3</v>
      </c>
      <c r="O22" s="18">
        <f t="shared" si="2"/>
        <v>14362627866</v>
      </c>
      <c r="P22" s="18">
        <f t="shared" si="2"/>
        <v>2046196186</v>
      </c>
      <c r="Q22" s="18">
        <f t="shared" si="2"/>
        <v>2254078399</v>
      </c>
      <c r="R22" s="18">
        <f t="shared" si="2"/>
        <v>286219017</v>
      </c>
      <c r="S22" s="18">
        <f t="shared" si="2"/>
        <v>1636659270</v>
      </c>
      <c r="T22" s="18">
        <f t="shared" si="2"/>
        <v>3787798551</v>
      </c>
      <c r="U22" s="18">
        <f t="shared" si="2"/>
        <v>372593131.7</v>
      </c>
      <c r="V22" s="18">
        <f t="shared" si="2"/>
        <v>1751240334</v>
      </c>
      <c r="W22" s="18">
        <f t="shared" si="2"/>
        <v>14784241</v>
      </c>
      <c r="X22" s="18">
        <f t="shared" si="2"/>
        <v>84654977.76</v>
      </c>
      <c r="Y22" s="18">
        <f t="shared" si="2"/>
        <v>-32931387.39</v>
      </c>
      <c r="Z22" s="18">
        <f t="shared" si="2"/>
        <v>1299254293</v>
      </c>
      <c r="AA22" s="18">
        <f t="shared" si="2"/>
        <v>5539148967</v>
      </c>
      <c r="AB22" s="18">
        <f t="shared" si="2"/>
        <v>829129675.3</v>
      </c>
      <c r="AC22" s="18">
        <f t="shared" si="2"/>
        <v>1530459341</v>
      </c>
      <c r="AD22" s="18">
        <f t="shared" si="2"/>
        <v>38444272</v>
      </c>
      <c r="AE22" s="18">
        <f t="shared" si="2"/>
        <v>699154864.4</v>
      </c>
      <c r="AF22" s="18">
        <f t="shared" si="2"/>
        <v>188099832</v>
      </c>
      <c r="AG22" s="18">
        <f t="shared" si="2"/>
        <v>1455470292</v>
      </c>
      <c r="AH22" s="18">
        <f t="shared" si="2"/>
        <v>54687</v>
      </c>
      <c r="AI22" s="18">
        <f t="shared" si="2"/>
        <v>55272330</v>
      </c>
      <c r="AJ22" s="18">
        <f t="shared" si="2"/>
        <v>182267275.3</v>
      </c>
      <c r="AK22" s="18">
        <f t="shared" si="2"/>
        <v>54058837148</v>
      </c>
      <c r="AL22" s="5"/>
      <c r="AM22" s="5"/>
      <c r="AN22" s="5"/>
      <c r="AO22" s="5"/>
      <c r="AP22" s="5"/>
      <c r="AQ22" s="5"/>
      <c r="AR22" s="5"/>
    </row>
    <row r="23" ht="22.5" hidden="1" customHeight="1">
      <c r="A23" s="20" t="s">
        <v>60</v>
      </c>
      <c r="B23" s="21" t="s">
        <v>95</v>
      </c>
      <c r="C23" s="16" t="s">
        <v>62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3">
        <f t="shared" ref="AK23:AK41" si="3">SUM(D23:AJ23)</f>
        <v>0</v>
      </c>
      <c r="AL23" s="24"/>
      <c r="AM23" s="24"/>
      <c r="AN23" s="24"/>
      <c r="AO23" s="24"/>
      <c r="AP23" s="24"/>
      <c r="AQ23" s="24"/>
      <c r="AR23" s="24"/>
    </row>
    <row r="24" ht="22.5" hidden="1" customHeight="1">
      <c r="A24" s="20" t="s">
        <v>63</v>
      </c>
      <c r="B24" s="21" t="s">
        <v>95</v>
      </c>
      <c r="C24" s="16" t="s">
        <v>64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3">
        <f t="shared" si="3"/>
        <v>0</v>
      </c>
      <c r="AL24" s="24"/>
      <c r="AM24" s="24"/>
      <c r="AN24" s="24"/>
      <c r="AO24" s="24"/>
      <c r="AP24" s="24"/>
      <c r="AQ24" s="24"/>
      <c r="AR24" s="24"/>
    </row>
    <row r="25" ht="22.5" hidden="1" customHeight="1">
      <c r="A25" s="20" t="s">
        <v>65</v>
      </c>
      <c r="B25" s="21" t="s">
        <v>95</v>
      </c>
      <c r="C25" s="16" t="s">
        <v>66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3">
        <f t="shared" si="3"/>
        <v>0</v>
      </c>
      <c r="AL25" s="24"/>
      <c r="AM25" s="24"/>
      <c r="AN25" s="24"/>
      <c r="AO25" s="24"/>
      <c r="AP25" s="24"/>
      <c r="AQ25" s="24"/>
      <c r="AR25" s="24"/>
    </row>
    <row r="26" ht="22.5" hidden="1" customHeight="1">
      <c r="A26" s="20" t="s">
        <v>67</v>
      </c>
      <c r="B26" s="21" t="s">
        <v>95</v>
      </c>
      <c r="C26" s="16" t="s">
        <v>68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3">
        <f t="shared" si="3"/>
        <v>0</v>
      </c>
      <c r="AL26" s="24"/>
      <c r="AM26" s="24"/>
      <c r="AN26" s="24"/>
      <c r="AO26" s="24"/>
      <c r="AP26" s="24"/>
      <c r="AQ26" s="24"/>
      <c r="AR26" s="24"/>
    </row>
    <row r="27" ht="22.5" hidden="1" customHeight="1">
      <c r="A27" s="20" t="s">
        <v>69</v>
      </c>
      <c r="B27" s="21" t="s">
        <v>95</v>
      </c>
      <c r="C27" s="16" t="s">
        <v>70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3">
        <f t="shared" si="3"/>
        <v>0</v>
      </c>
      <c r="AL27" s="24"/>
      <c r="AM27" s="24"/>
      <c r="AN27" s="24"/>
      <c r="AO27" s="24"/>
      <c r="AP27" s="24"/>
      <c r="AQ27" s="24"/>
      <c r="AR27" s="24"/>
    </row>
    <row r="28" ht="22.5" hidden="1" customHeight="1">
      <c r="A28" s="20" t="s">
        <v>71</v>
      </c>
      <c r="B28" s="21" t="s">
        <v>95</v>
      </c>
      <c r="C28" s="16" t="s">
        <v>72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3">
        <f t="shared" si="3"/>
        <v>0</v>
      </c>
      <c r="AL28" s="24"/>
      <c r="AM28" s="24"/>
      <c r="AN28" s="24"/>
      <c r="AO28" s="24"/>
      <c r="AP28" s="24"/>
      <c r="AQ28" s="24"/>
      <c r="AR28" s="24"/>
    </row>
    <row r="29" ht="22.5" hidden="1" customHeight="1">
      <c r="A29" s="20" t="s">
        <v>73</v>
      </c>
      <c r="B29" s="21" t="s">
        <v>95</v>
      </c>
      <c r="C29" s="16" t="s">
        <v>74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3">
        <f t="shared" si="3"/>
        <v>0</v>
      </c>
      <c r="AL29" s="24"/>
      <c r="AM29" s="24"/>
      <c r="AN29" s="24"/>
      <c r="AO29" s="24"/>
      <c r="AP29" s="24"/>
      <c r="AQ29" s="24"/>
      <c r="AR29" s="24"/>
    </row>
    <row r="30" ht="22.5" hidden="1" customHeight="1">
      <c r="A30" s="20" t="s">
        <v>75</v>
      </c>
      <c r="B30" s="21" t="s">
        <v>95</v>
      </c>
      <c r="C30" s="16" t="s">
        <v>76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3">
        <f t="shared" si="3"/>
        <v>0</v>
      </c>
      <c r="AL30" s="24"/>
      <c r="AM30" s="24"/>
      <c r="AN30" s="24"/>
      <c r="AO30" s="24"/>
      <c r="AP30" s="24"/>
      <c r="AQ30" s="24"/>
      <c r="AR30" s="24"/>
    </row>
    <row r="31" ht="22.5" hidden="1" customHeight="1">
      <c r="A31" s="20" t="s">
        <v>77</v>
      </c>
      <c r="B31" s="21" t="s">
        <v>95</v>
      </c>
      <c r="C31" s="16" t="s">
        <v>78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3">
        <f t="shared" si="3"/>
        <v>0</v>
      </c>
      <c r="AL31" s="24"/>
      <c r="AM31" s="24"/>
      <c r="AN31" s="24"/>
      <c r="AO31" s="24"/>
      <c r="AP31" s="24"/>
      <c r="AQ31" s="24"/>
      <c r="AR31" s="24"/>
    </row>
    <row r="32" ht="22.5" hidden="1" customHeight="1">
      <c r="A32" s="20" t="s">
        <v>79</v>
      </c>
      <c r="B32" s="21" t="s">
        <v>95</v>
      </c>
      <c r="C32" s="16" t="s">
        <v>80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3">
        <f t="shared" si="3"/>
        <v>0</v>
      </c>
      <c r="AL32" s="24"/>
      <c r="AM32" s="24"/>
      <c r="AN32" s="24"/>
      <c r="AO32" s="24"/>
      <c r="AP32" s="24"/>
      <c r="AQ32" s="24"/>
      <c r="AR32" s="24"/>
    </row>
    <row r="33" ht="22.5" hidden="1" customHeight="1">
      <c r="A33" s="20" t="s">
        <v>81</v>
      </c>
      <c r="B33" s="21" t="s">
        <v>95</v>
      </c>
      <c r="C33" s="16" t="s">
        <v>82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3">
        <f t="shared" si="3"/>
        <v>0</v>
      </c>
      <c r="AL33" s="24"/>
      <c r="AM33" s="24"/>
      <c r="AN33" s="24"/>
      <c r="AO33" s="24"/>
      <c r="AP33" s="24"/>
      <c r="AQ33" s="24"/>
      <c r="AR33" s="24"/>
    </row>
    <row r="34" ht="22.5" hidden="1" customHeight="1">
      <c r="A34" s="20" t="s">
        <v>83</v>
      </c>
      <c r="B34" s="21" t="s">
        <v>95</v>
      </c>
      <c r="C34" s="16" t="s">
        <v>84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3">
        <f t="shared" si="3"/>
        <v>0</v>
      </c>
      <c r="AL34" s="24"/>
      <c r="AM34" s="24"/>
      <c r="AN34" s="24"/>
      <c r="AO34" s="24"/>
      <c r="AP34" s="24"/>
      <c r="AQ34" s="24"/>
      <c r="AR34" s="24"/>
    </row>
    <row r="35" ht="22.5" hidden="1" customHeight="1">
      <c r="A35" s="20" t="s">
        <v>85</v>
      </c>
      <c r="B35" s="21" t="s">
        <v>95</v>
      </c>
      <c r="C35" s="16" t="s">
        <v>86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3">
        <f t="shared" si="3"/>
        <v>0</v>
      </c>
      <c r="AL35" s="24"/>
      <c r="AM35" s="24"/>
      <c r="AN35" s="24"/>
      <c r="AO35" s="24"/>
      <c r="AP35" s="24"/>
      <c r="AQ35" s="24"/>
      <c r="AR35" s="24"/>
    </row>
    <row r="36" ht="22.5" hidden="1" customHeight="1">
      <c r="A36" s="20">
        <v>18.0</v>
      </c>
      <c r="B36" s="21" t="s">
        <v>95</v>
      </c>
      <c r="C36" s="16" t="s">
        <v>87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3">
        <f t="shared" si="3"/>
        <v>0</v>
      </c>
      <c r="AL36" s="24"/>
      <c r="AM36" s="24"/>
      <c r="AN36" s="24"/>
      <c r="AO36" s="24"/>
      <c r="AP36" s="24"/>
      <c r="AQ36" s="24"/>
      <c r="AR36" s="24"/>
    </row>
    <row r="37" ht="22.5" hidden="1" customHeight="1">
      <c r="A37" s="20">
        <v>28.0</v>
      </c>
      <c r="B37" s="21" t="s">
        <v>95</v>
      </c>
      <c r="C37" s="16" t="s">
        <v>88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3">
        <f t="shared" si="3"/>
        <v>0</v>
      </c>
      <c r="AL37" s="24"/>
      <c r="AM37" s="24"/>
      <c r="AN37" s="24"/>
      <c r="AO37" s="24"/>
      <c r="AP37" s="24"/>
      <c r="AQ37" s="24"/>
      <c r="AR37" s="24"/>
    </row>
    <row r="38" ht="22.5" hidden="1" customHeight="1">
      <c r="A38" s="20">
        <v>29.0</v>
      </c>
      <c r="B38" s="21" t="s">
        <v>95</v>
      </c>
      <c r="C38" s="16" t="s">
        <v>89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3">
        <f t="shared" si="3"/>
        <v>0</v>
      </c>
      <c r="AL38" s="24"/>
      <c r="AM38" s="24"/>
      <c r="AN38" s="24"/>
      <c r="AO38" s="24"/>
      <c r="AP38" s="24"/>
      <c r="AQ38" s="24"/>
      <c r="AR38" s="24"/>
    </row>
    <row r="39" ht="22.5" hidden="1" customHeight="1">
      <c r="A39" s="20" t="s">
        <v>90</v>
      </c>
      <c r="B39" s="21" t="s">
        <v>95</v>
      </c>
      <c r="C39" s="16" t="s">
        <v>91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3">
        <f t="shared" si="3"/>
        <v>0</v>
      </c>
      <c r="AL39" s="24"/>
      <c r="AM39" s="24"/>
      <c r="AN39" s="24"/>
      <c r="AO39" s="24"/>
      <c r="AP39" s="24"/>
      <c r="AQ39" s="24"/>
      <c r="AR39" s="24"/>
    </row>
    <row r="40" ht="22.5" hidden="1" customHeight="1">
      <c r="A40" s="20" t="s">
        <v>96</v>
      </c>
      <c r="B40" s="21" t="s">
        <v>95</v>
      </c>
      <c r="C40" s="16" t="s">
        <v>92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3">
        <f t="shared" si="3"/>
        <v>0</v>
      </c>
      <c r="AL40" s="24"/>
      <c r="AM40" s="24"/>
      <c r="AN40" s="24"/>
      <c r="AO40" s="24"/>
      <c r="AP40" s="24"/>
      <c r="AQ40" s="24"/>
      <c r="AR40" s="24"/>
    </row>
    <row r="41" ht="22.5" hidden="1" customHeight="1">
      <c r="A41" s="20">
        <v>47.0</v>
      </c>
      <c r="B41" s="21" t="s">
        <v>95</v>
      </c>
      <c r="C41" s="16" t="s">
        <v>93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3">
        <f t="shared" si="3"/>
        <v>0</v>
      </c>
      <c r="AL41" s="24"/>
      <c r="AM41" s="24"/>
      <c r="AN41" s="24"/>
      <c r="AO41" s="24"/>
      <c r="AP41" s="24"/>
      <c r="AQ41" s="24"/>
      <c r="AR41" s="24"/>
    </row>
    <row r="42" ht="22.5" hidden="1" customHeight="1">
      <c r="A42" s="20"/>
      <c r="B42" s="21" t="s">
        <v>95</v>
      </c>
      <c r="C42" s="16" t="s">
        <v>94</v>
      </c>
      <c r="D42" s="23">
        <f t="shared" ref="D42:AK42" si="4">SUBTOTAL(9,D23:D41)</f>
        <v>0</v>
      </c>
      <c r="E42" s="23">
        <f t="shared" si="4"/>
        <v>0</v>
      </c>
      <c r="F42" s="23">
        <f t="shared" si="4"/>
        <v>0</v>
      </c>
      <c r="G42" s="23">
        <f t="shared" si="4"/>
        <v>0</v>
      </c>
      <c r="H42" s="23">
        <f t="shared" si="4"/>
        <v>0</v>
      </c>
      <c r="I42" s="23">
        <f t="shared" si="4"/>
        <v>0</v>
      </c>
      <c r="J42" s="23">
        <f t="shared" si="4"/>
        <v>0</v>
      </c>
      <c r="K42" s="23">
        <f t="shared" si="4"/>
        <v>0</v>
      </c>
      <c r="L42" s="23">
        <f t="shared" si="4"/>
        <v>0</v>
      </c>
      <c r="M42" s="23">
        <f t="shared" si="4"/>
        <v>0</v>
      </c>
      <c r="N42" s="23">
        <f t="shared" si="4"/>
        <v>0</v>
      </c>
      <c r="O42" s="23">
        <f t="shared" si="4"/>
        <v>0</v>
      </c>
      <c r="P42" s="23">
        <f t="shared" si="4"/>
        <v>0</v>
      </c>
      <c r="Q42" s="23">
        <f t="shared" si="4"/>
        <v>0</v>
      </c>
      <c r="R42" s="23">
        <f t="shared" si="4"/>
        <v>0</v>
      </c>
      <c r="S42" s="23">
        <f t="shared" si="4"/>
        <v>0</v>
      </c>
      <c r="T42" s="23">
        <f t="shared" si="4"/>
        <v>0</v>
      </c>
      <c r="U42" s="23">
        <f t="shared" si="4"/>
        <v>0</v>
      </c>
      <c r="V42" s="23">
        <f t="shared" si="4"/>
        <v>0</v>
      </c>
      <c r="W42" s="23">
        <f t="shared" si="4"/>
        <v>0</v>
      </c>
      <c r="X42" s="23">
        <f t="shared" si="4"/>
        <v>0</v>
      </c>
      <c r="Y42" s="23">
        <f t="shared" si="4"/>
        <v>0</v>
      </c>
      <c r="Z42" s="23">
        <f t="shared" si="4"/>
        <v>0</v>
      </c>
      <c r="AA42" s="23">
        <f t="shared" si="4"/>
        <v>0</v>
      </c>
      <c r="AB42" s="23">
        <f t="shared" si="4"/>
        <v>0</v>
      </c>
      <c r="AC42" s="23">
        <f t="shared" si="4"/>
        <v>0</v>
      </c>
      <c r="AD42" s="23">
        <f t="shared" si="4"/>
        <v>0</v>
      </c>
      <c r="AE42" s="23">
        <f t="shared" si="4"/>
        <v>0</v>
      </c>
      <c r="AF42" s="23">
        <f t="shared" si="4"/>
        <v>0</v>
      </c>
      <c r="AG42" s="23">
        <f t="shared" si="4"/>
        <v>0</v>
      </c>
      <c r="AH42" s="23">
        <f t="shared" si="4"/>
        <v>0</v>
      </c>
      <c r="AI42" s="23">
        <f t="shared" si="4"/>
        <v>0</v>
      </c>
      <c r="AJ42" s="23">
        <f t="shared" si="4"/>
        <v>0</v>
      </c>
      <c r="AK42" s="23">
        <f t="shared" si="4"/>
        <v>0</v>
      </c>
      <c r="AL42" s="24"/>
      <c r="AM42" s="24"/>
      <c r="AN42" s="24"/>
      <c r="AO42" s="24"/>
      <c r="AP42" s="24"/>
      <c r="AQ42" s="24"/>
      <c r="AR42" s="24"/>
    </row>
    <row r="43" ht="22.5" hidden="1" customHeight="1">
      <c r="A43" s="14" t="s">
        <v>60</v>
      </c>
      <c r="B43" s="15" t="s">
        <v>97</v>
      </c>
      <c r="C43" s="16" t="s">
        <v>62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6"/>
      <c r="AI43" s="25"/>
      <c r="AJ43" s="25"/>
      <c r="AK43" s="27">
        <f t="shared" ref="AK43:AK61" si="5">SUM(D43:AJ43)</f>
        <v>0</v>
      </c>
      <c r="AL43" s="5"/>
      <c r="AM43" s="5"/>
      <c r="AN43" s="5"/>
      <c r="AO43" s="5"/>
      <c r="AP43" s="5"/>
      <c r="AQ43" s="5"/>
      <c r="AR43" s="5"/>
    </row>
    <row r="44" ht="22.5" hidden="1" customHeight="1">
      <c r="A44" s="14" t="s">
        <v>63</v>
      </c>
      <c r="B44" s="15" t="s">
        <v>97</v>
      </c>
      <c r="C44" s="16" t="s">
        <v>64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7">
        <f t="shared" si="5"/>
        <v>0</v>
      </c>
      <c r="AL44" s="5"/>
      <c r="AM44" s="5"/>
      <c r="AN44" s="5"/>
      <c r="AO44" s="5"/>
      <c r="AP44" s="5"/>
      <c r="AQ44" s="5"/>
      <c r="AR44" s="5"/>
    </row>
    <row r="45" ht="22.5" hidden="1" customHeight="1">
      <c r="A45" s="14" t="s">
        <v>65</v>
      </c>
      <c r="B45" s="15" t="s">
        <v>97</v>
      </c>
      <c r="C45" s="16" t="s">
        <v>66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7">
        <f t="shared" si="5"/>
        <v>0</v>
      </c>
      <c r="AL45" s="5"/>
      <c r="AM45" s="5"/>
      <c r="AN45" s="5"/>
      <c r="AO45" s="5"/>
      <c r="AP45" s="5"/>
      <c r="AQ45" s="5"/>
      <c r="AR45" s="5"/>
    </row>
    <row r="46" ht="22.5" hidden="1" customHeight="1">
      <c r="A46" s="14" t="s">
        <v>67</v>
      </c>
      <c r="B46" s="15" t="s">
        <v>97</v>
      </c>
      <c r="C46" s="16" t="s">
        <v>68</v>
      </c>
      <c r="D46" s="28"/>
      <c r="E46" s="28"/>
      <c r="F46" s="28"/>
      <c r="G46" s="28"/>
      <c r="H46" s="28"/>
      <c r="I46" s="28"/>
      <c r="J46" s="28"/>
      <c r="K46" s="29"/>
      <c r="L46" s="28"/>
      <c r="M46" s="28"/>
      <c r="N46" s="28"/>
      <c r="O46" s="28"/>
      <c r="P46" s="28"/>
      <c r="Q46" s="28"/>
      <c r="R46" s="28"/>
      <c r="S46" s="29"/>
      <c r="T46" s="30"/>
      <c r="U46" s="30"/>
      <c r="V46" s="30"/>
      <c r="W46" s="30"/>
      <c r="X46" s="30"/>
      <c r="Y46" s="30"/>
      <c r="Z46" s="30"/>
      <c r="AA46" s="31"/>
      <c r="AB46" s="30"/>
      <c r="AC46" s="30"/>
      <c r="AD46" s="30"/>
      <c r="AE46" s="30"/>
      <c r="AF46" s="30"/>
      <c r="AG46" s="30"/>
      <c r="AH46" s="25"/>
      <c r="AI46" s="32"/>
      <c r="AJ46" s="30"/>
      <c r="AK46" s="27">
        <f t="shared" si="5"/>
        <v>0</v>
      </c>
      <c r="AL46" s="5"/>
      <c r="AM46" s="5"/>
      <c r="AN46" s="5"/>
      <c r="AO46" s="5"/>
      <c r="AP46" s="5"/>
      <c r="AQ46" s="5"/>
      <c r="AR46" s="5"/>
    </row>
    <row r="47" ht="22.5" hidden="1" customHeight="1">
      <c r="A47" s="14" t="s">
        <v>69</v>
      </c>
      <c r="B47" s="15" t="s">
        <v>97</v>
      </c>
      <c r="C47" s="16" t="s">
        <v>70</v>
      </c>
      <c r="D47" s="19"/>
      <c r="E47" s="19"/>
      <c r="F47" s="19"/>
      <c r="G47" s="19"/>
      <c r="H47" s="19"/>
      <c r="I47" s="19"/>
      <c r="J47" s="19"/>
      <c r="K47" s="17"/>
      <c r="L47" s="19"/>
      <c r="M47" s="19"/>
      <c r="N47" s="19"/>
      <c r="O47" s="19"/>
      <c r="P47" s="19"/>
      <c r="Q47" s="19"/>
      <c r="R47" s="19"/>
      <c r="S47" s="17"/>
      <c r="T47" s="32"/>
      <c r="U47" s="32"/>
      <c r="V47" s="32"/>
      <c r="W47" s="32"/>
      <c r="X47" s="32"/>
      <c r="Y47" s="32"/>
      <c r="Z47" s="32"/>
      <c r="AA47" s="25"/>
      <c r="AB47" s="32"/>
      <c r="AC47" s="32"/>
      <c r="AD47" s="32"/>
      <c r="AE47" s="32"/>
      <c r="AF47" s="32"/>
      <c r="AG47" s="32"/>
      <c r="AH47" s="32"/>
      <c r="AI47" s="32"/>
      <c r="AJ47" s="25"/>
      <c r="AK47" s="27">
        <f t="shared" si="5"/>
        <v>0</v>
      </c>
      <c r="AL47" s="33"/>
      <c r="AM47" s="33"/>
      <c r="AN47" s="33"/>
      <c r="AO47" s="33"/>
      <c r="AP47" s="33"/>
      <c r="AQ47" s="33"/>
      <c r="AR47" s="33"/>
    </row>
    <row r="48" ht="22.5" hidden="1" customHeight="1">
      <c r="A48" s="14" t="s">
        <v>71</v>
      </c>
      <c r="B48" s="15" t="s">
        <v>97</v>
      </c>
      <c r="C48" s="16" t="s">
        <v>72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7">
        <f t="shared" si="5"/>
        <v>0</v>
      </c>
      <c r="AL48" s="5"/>
      <c r="AM48" s="5"/>
      <c r="AN48" s="5"/>
      <c r="AO48" s="5"/>
      <c r="AP48" s="5"/>
      <c r="AQ48" s="5"/>
      <c r="AR48" s="5"/>
    </row>
    <row r="49" ht="22.5" hidden="1" customHeight="1">
      <c r="A49" s="14" t="s">
        <v>73</v>
      </c>
      <c r="B49" s="15" t="s">
        <v>97</v>
      </c>
      <c r="C49" s="16" t="s">
        <v>74</v>
      </c>
      <c r="D49" s="19"/>
      <c r="E49" s="34"/>
      <c r="F49" s="19"/>
      <c r="G49" s="34"/>
      <c r="H49" s="19"/>
      <c r="I49" s="19"/>
      <c r="J49" s="19"/>
      <c r="K49" s="17"/>
      <c r="L49" s="19"/>
      <c r="M49" s="19"/>
      <c r="N49" s="19"/>
      <c r="O49" s="19"/>
      <c r="P49" s="19"/>
      <c r="Q49" s="19"/>
      <c r="R49" s="19"/>
      <c r="S49" s="17"/>
      <c r="T49" s="32"/>
      <c r="U49" s="32"/>
      <c r="V49" s="32"/>
      <c r="W49" s="32"/>
      <c r="X49" s="32"/>
      <c r="Y49" s="32"/>
      <c r="Z49" s="32"/>
      <c r="AA49" s="25"/>
      <c r="AB49" s="32"/>
      <c r="AC49" s="32"/>
      <c r="AD49" s="32"/>
      <c r="AE49" s="32"/>
      <c r="AF49" s="32"/>
      <c r="AG49" s="32"/>
      <c r="AH49" s="25"/>
      <c r="AI49" s="25"/>
      <c r="AJ49" s="25"/>
      <c r="AK49" s="27">
        <f t="shared" si="5"/>
        <v>0</v>
      </c>
      <c r="AL49" s="5"/>
      <c r="AM49" s="5"/>
      <c r="AN49" s="5"/>
      <c r="AO49" s="5"/>
      <c r="AP49" s="5"/>
      <c r="AQ49" s="5"/>
      <c r="AR49" s="5"/>
    </row>
    <row r="50" ht="22.5" hidden="1" customHeight="1">
      <c r="A50" s="14" t="s">
        <v>75</v>
      </c>
      <c r="B50" s="15" t="s">
        <v>97</v>
      </c>
      <c r="C50" s="16" t="s">
        <v>76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7">
        <f t="shared" si="5"/>
        <v>0</v>
      </c>
      <c r="AL50" s="5"/>
      <c r="AM50" s="5"/>
      <c r="AN50" s="5"/>
      <c r="AO50" s="5"/>
      <c r="AP50" s="5"/>
      <c r="AQ50" s="5"/>
      <c r="AR50" s="5"/>
    </row>
    <row r="51" ht="22.5" hidden="1" customHeight="1">
      <c r="A51" s="14" t="s">
        <v>77</v>
      </c>
      <c r="B51" s="15" t="s">
        <v>97</v>
      </c>
      <c r="C51" s="16" t="s">
        <v>78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7">
        <f t="shared" si="5"/>
        <v>0</v>
      </c>
      <c r="AL51" s="5"/>
      <c r="AM51" s="5"/>
      <c r="AN51" s="5"/>
      <c r="AO51" s="5"/>
      <c r="AP51" s="5"/>
      <c r="AQ51" s="5"/>
      <c r="AR51" s="5"/>
    </row>
    <row r="52" ht="22.5" hidden="1" customHeight="1">
      <c r="A52" s="14" t="s">
        <v>79</v>
      </c>
      <c r="B52" s="15" t="s">
        <v>97</v>
      </c>
      <c r="C52" s="16" t="s">
        <v>80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7">
        <f t="shared" si="5"/>
        <v>0</v>
      </c>
      <c r="AL52" s="5"/>
      <c r="AM52" s="5"/>
      <c r="AN52" s="5"/>
      <c r="AO52" s="5"/>
      <c r="AP52" s="5"/>
      <c r="AQ52" s="5"/>
      <c r="AR52" s="5"/>
    </row>
    <row r="53" ht="22.5" hidden="1" customHeight="1">
      <c r="A53" s="14" t="s">
        <v>81</v>
      </c>
      <c r="B53" s="15" t="s">
        <v>97</v>
      </c>
      <c r="C53" s="16" t="s">
        <v>82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7">
        <f t="shared" si="5"/>
        <v>0</v>
      </c>
      <c r="AL53" s="5"/>
      <c r="AM53" s="5"/>
      <c r="AN53" s="5"/>
      <c r="AO53" s="5"/>
      <c r="AP53" s="5"/>
      <c r="AQ53" s="5"/>
      <c r="AR53" s="5"/>
    </row>
    <row r="54" ht="22.5" hidden="1" customHeight="1">
      <c r="A54" s="14" t="s">
        <v>83</v>
      </c>
      <c r="B54" s="15" t="s">
        <v>97</v>
      </c>
      <c r="C54" s="16" t="s">
        <v>84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7">
        <f t="shared" si="5"/>
        <v>0</v>
      </c>
      <c r="AL54" s="5"/>
      <c r="AM54" s="5"/>
      <c r="AN54" s="5"/>
      <c r="AO54" s="5"/>
      <c r="AP54" s="5"/>
      <c r="AQ54" s="5"/>
      <c r="AR54" s="5"/>
    </row>
    <row r="55" ht="22.5" hidden="1" customHeight="1">
      <c r="A55" s="14" t="s">
        <v>85</v>
      </c>
      <c r="B55" s="15" t="s">
        <v>97</v>
      </c>
      <c r="C55" s="16" t="s">
        <v>86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7">
        <f t="shared" si="5"/>
        <v>0</v>
      </c>
      <c r="AL55" s="5"/>
      <c r="AM55" s="5"/>
      <c r="AN55" s="5"/>
      <c r="AO55" s="5"/>
      <c r="AP55" s="5"/>
      <c r="AQ55" s="5"/>
      <c r="AR55" s="5"/>
    </row>
    <row r="56" ht="22.5" hidden="1" customHeight="1">
      <c r="A56" s="14">
        <v>18.0</v>
      </c>
      <c r="B56" s="15" t="s">
        <v>97</v>
      </c>
      <c r="C56" s="16" t="s">
        <v>87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7">
        <f t="shared" si="5"/>
        <v>0</v>
      </c>
      <c r="AL56" s="5"/>
      <c r="AM56" s="5"/>
      <c r="AN56" s="5"/>
      <c r="AO56" s="5"/>
      <c r="AP56" s="5"/>
      <c r="AQ56" s="5"/>
      <c r="AR56" s="5"/>
    </row>
    <row r="57" ht="19.5" hidden="1" customHeight="1">
      <c r="A57" s="14">
        <v>28.0</v>
      </c>
      <c r="B57" s="15" t="s">
        <v>97</v>
      </c>
      <c r="C57" s="16" t="s">
        <v>88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7">
        <f t="shared" si="5"/>
        <v>0</v>
      </c>
      <c r="AL57" s="5"/>
      <c r="AM57" s="5"/>
      <c r="AN57" s="5"/>
      <c r="AO57" s="5"/>
      <c r="AP57" s="5"/>
      <c r="AQ57" s="5"/>
      <c r="AR57" s="5"/>
    </row>
    <row r="58" ht="22.5" hidden="1" customHeight="1">
      <c r="A58" s="14">
        <v>29.0</v>
      </c>
      <c r="B58" s="15" t="s">
        <v>97</v>
      </c>
      <c r="C58" s="16" t="s">
        <v>89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7">
        <f t="shared" si="5"/>
        <v>0</v>
      </c>
      <c r="AL58" s="5"/>
      <c r="AM58" s="5"/>
      <c r="AN58" s="5"/>
      <c r="AO58" s="5"/>
      <c r="AP58" s="5"/>
      <c r="AQ58" s="5"/>
      <c r="AR58" s="5"/>
    </row>
    <row r="59" ht="22.5" hidden="1" customHeight="1">
      <c r="A59" s="14" t="s">
        <v>90</v>
      </c>
      <c r="B59" s="15" t="s">
        <v>97</v>
      </c>
      <c r="C59" s="16" t="s">
        <v>91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7">
        <f t="shared" si="5"/>
        <v>0</v>
      </c>
      <c r="AL59" s="5"/>
      <c r="AM59" s="5"/>
      <c r="AN59" s="5"/>
      <c r="AO59" s="5"/>
      <c r="AP59" s="5"/>
      <c r="AQ59" s="5"/>
      <c r="AR59" s="5"/>
    </row>
    <row r="60" ht="22.5" hidden="1" customHeight="1">
      <c r="A60" s="14" t="s">
        <v>96</v>
      </c>
      <c r="B60" s="15" t="s">
        <v>97</v>
      </c>
      <c r="C60" s="16" t="s">
        <v>92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7">
        <f t="shared" si="5"/>
        <v>0</v>
      </c>
      <c r="AL60" s="5"/>
      <c r="AM60" s="5"/>
      <c r="AN60" s="5"/>
      <c r="AO60" s="5"/>
      <c r="AP60" s="5"/>
      <c r="AQ60" s="5"/>
      <c r="AR60" s="5"/>
    </row>
    <row r="61" ht="22.5" hidden="1" customHeight="1">
      <c r="A61" s="20">
        <v>47.0</v>
      </c>
      <c r="B61" s="15" t="s">
        <v>97</v>
      </c>
      <c r="C61" s="16" t="s">
        <v>93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7">
        <f t="shared" si="5"/>
        <v>0</v>
      </c>
      <c r="AL61" s="5"/>
      <c r="AM61" s="5"/>
      <c r="AN61" s="5"/>
      <c r="AO61" s="5"/>
      <c r="AP61" s="5"/>
      <c r="AQ61" s="5"/>
      <c r="AR61" s="5"/>
    </row>
    <row r="62" ht="22.5" hidden="1" customHeight="1">
      <c r="A62" s="14"/>
      <c r="B62" s="15" t="s">
        <v>97</v>
      </c>
      <c r="C62" s="16" t="s">
        <v>94</v>
      </c>
      <c r="D62" s="18">
        <f t="shared" ref="D62:AK62" si="6">SUBTOTAL(9,D43:D61)</f>
        <v>0</v>
      </c>
      <c r="E62" s="18">
        <f t="shared" si="6"/>
        <v>0</v>
      </c>
      <c r="F62" s="18">
        <f t="shared" si="6"/>
        <v>0</v>
      </c>
      <c r="G62" s="18">
        <f t="shared" si="6"/>
        <v>0</v>
      </c>
      <c r="H62" s="18">
        <f t="shared" si="6"/>
        <v>0</v>
      </c>
      <c r="I62" s="18">
        <f t="shared" si="6"/>
        <v>0</v>
      </c>
      <c r="J62" s="18">
        <f t="shared" si="6"/>
        <v>0</v>
      </c>
      <c r="K62" s="18">
        <f t="shared" si="6"/>
        <v>0</v>
      </c>
      <c r="L62" s="18">
        <f t="shared" si="6"/>
        <v>0</v>
      </c>
      <c r="M62" s="18">
        <f t="shared" si="6"/>
        <v>0</v>
      </c>
      <c r="N62" s="18">
        <f t="shared" si="6"/>
        <v>0</v>
      </c>
      <c r="O62" s="18">
        <f t="shared" si="6"/>
        <v>0</v>
      </c>
      <c r="P62" s="18">
        <f t="shared" si="6"/>
        <v>0</v>
      </c>
      <c r="Q62" s="18">
        <f t="shared" si="6"/>
        <v>0</v>
      </c>
      <c r="R62" s="18">
        <f t="shared" si="6"/>
        <v>0</v>
      </c>
      <c r="S62" s="18">
        <f t="shared" si="6"/>
        <v>0</v>
      </c>
      <c r="T62" s="27">
        <f t="shared" si="6"/>
        <v>0</v>
      </c>
      <c r="U62" s="27">
        <f t="shared" si="6"/>
        <v>0</v>
      </c>
      <c r="V62" s="27">
        <f t="shared" si="6"/>
        <v>0</v>
      </c>
      <c r="W62" s="27">
        <f t="shared" si="6"/>
        <v>0</v>
      </c>
      <c r="X62" s="27">
        <f t="shared" si="6"/>
        <v>0</v>
      </c>
      <c r="Y62" s="27">
        <f t="shared" si="6"/>
        <v>0</v>
      </c>
      <c r="Z62" s="27">
        <f t="shared" si="6"/>
        <v>0</v>
      </c>
      <c r="AA62" s="27">
        <f t="shared" si="6"/>
        <v>0</v>
      </c>
      <c r="AB62" s="27">
        <f t="shared" si="6"/>
        <v>0</v>
      </c>
      <c r="AC62" s="27">
        <f t="shared" si="6"/>
        <v>0</v>
      </c>
      <c r="AD62" s="27">
        <f t="shared" si="6"/>
        <v>0</v>
      </c>
      <c r="AE62" s="27">
        <f t="shared" si="6"/>
        <v>0</v>
      </c>
      <c r="AF62" s="27">
        <f t="shared" si="6"/>
        <v>0</v>
      </c>
      <c r="AG62" s="27">
        <f t="shared" si="6"/>
        <v>0</v>
      </c>
      <c r="AH62" s="27">
        <f t="shared" si="6"/>
        <v>0</v>
      </c>
      <c r="AI62" s="27">
        <f t="shared" si="6"/>
        <v>0</v>
      </c>
      <c r="AJ62" s="27">
        <f t="shared" si="6"/>
        <v>0</v>
      </c>
      <c r="AK62" s="27">
        <f t="shared" si="6"/>
        <v>0</v>
      </c>
      <c r="AL62" s="5"/>
      <c r="AM62" s="5"/>
      <c r="AN62" s="5"/>
      <c r="AO62" s="5"/>
      <c r="AP62" s="5"/>
      <c r="AQ62" s="5"/>
      <c r="AR62" s="5"/>
    </row>
    <row r="63" ht="22.5" hidden="1" customHeight="1">
      <c r="A63" s="14" t="s">
        <v>60</v>
      </c>
      <c r="B63" s="15" t="s">
        <v>98</v>
      </c>
      <c r="C63" s="16" t="s">
        <v>62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7">
        <f t="shared" ref="AK63:AK81" si="7">SUM(D63:AJ63)</f>
        <v>0</v>
      </c>
      <c r="AL63" s="5"/>
      <c r="AM63" s="5"/>
      <c r="AN63" s="5"/>
      <c r="AO63" s="5"/>
      <c r="AP63" s="5"/>
      <c r="AQ63" s="5"/>
      <c r="AR63" s="5"/>
    </row>
    <row r="64" ht="22.5" hidden="1" customHeight="1">
      <c r="A64" s="14" t="s">
        <v>63</v>
      </c>
      <c r="B64" s="15" t="s">
        <v>98</v>
      </c>
      <c r="C64" s="16" t="s">
        <v>64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7">
        <f t="shared" si="7"/>
        <v>0</v>
      </c>
      <c r="AL64" s="5"/>
      <c r="AM64" s="5"/>
      <c r="AN64" s="5"/>
      <c r="AO64" s="5"/>
      <c r="AP64" s="5"/>
      <c r="AQ64" s="5"/>
      <c r="AR64" s="5"/>
    </row>
    <row r="65" ht="22.5" hidden="1" customHeight="1">
      <c r="A65" s="14" t="s">
        <v>65</v>
      </c>
      <c r="B65" s="15" t="s">
        <v>98</v>
      </c>
      <c r="C65" s="16" t="s">
        <v>66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7">
        <f t="shared" si="7"/>
        <v>0</v>
      </c>
      <c r="AL65" s="5"/>
      <c r="AM65" s="5"/>
      <c r="AN65" s="5"/>
      <c r="AO65" s="5"/>
      <c r="AP65" s="5"/>
      <c r="AQ65" s="5"/>
      <c r="AR65" s="5"/>
    </row>
    <row r="66" ht="22.5" hidden="1" customHeight="1">
      <c r="A66" s="14" t="s">
        <v>67</v>
      </c>
      <c r="B66" s="15" t="s">
        <v>98</v>
      </c>
      <c r="C66" s="16" t="s">
        <v>68</v>
      </c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7">
        <f t="shared" si="7"/>
        <v>0</v>
      </c>
      <c r="AL66" s="5"/>
      <c r="AM66" s="5"/>
      <c r="AN66" s="5"/>
      <c r="AO66" s="5"/>
      <c r="AP66" s="5"/>
      <c r="AQ66" s="5"/>
      <c r="AR66" s="5"/>
    </row>
    <row r="67" ht="22.5" hidden="1" customHeight="1">
      <c r="A67" s="14" t="s">
        <v>69</v>
      </c>
      <c r="B67" s="15" t="s">
        <v>98</v>
      </c>
      <c r="C67" s="16" t="s">
        <v>70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7">
        <f t="shared" si="7"/>
        <v>0</v>
      </c>
      <c r="AL67" s="5"/>
      <c r="AM67" s="5"/>
      <c r="AN67" s="5"/>
      <c r="AO67" s="5"/>
      <c r="AP67" s="5"/>
      <c r="AQ67" s="5"/>
      <c r="AR67" s="5"/>
    </row>
    <row r="68" ht="22.5" hidden="1" customHeight="1">
      <c r="A68" s="14" t="s">
        <v>71</v>
      </c>
      <c r="B68" s="15" t="s">
        <v>98</v>
      </c>
      <c r="C68" s="16" t="s">
        <v>72</v>
      </c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7">
        <f t="shared" si="7"/>
        <v>0</v>
      </c>
      <c r="AL68" s="5"/>
      <c r="AM68" s="5"/>
      <c r="AN68" s="5"/>
      <c r="AO68" s="5"/>
      <c r="AP68" s="5"/>
      <c r="AQ68" s="5"/>
      <c r="AR68" s="5"/>
    </row>
    <row r="69" ht="22.5" hidden="1" customHeight="1">
      <c r="A69" s="14" t="s">
        <v>73</v>
      </c>
      <c r="B69" s="15" t="s">
        <v>98</v>
      </c>
      <c r="C69" s="16" t="s">
        <v>74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7">
        <f t="shared" si="7"/>
        <v>0</v>
      </c>
      <c r="AL69" s="5"/>
      <c r="AM69" s="5"/>
      <c r="AN69" s="5"/>
      <c r="AO69" s="5"/>
      <c r="AP69" s="5"/>
      <c r="AQ69" s="5"/>
      <c r="AR69" s="5"/>
    </row>
    <row r="70" ht="22.5" hidden="1" customHeight="1">
      <c r="A70" s="14" t="s">
        <v>75</v>
      </c>
      <c r="B70" s="15" t="s">
        <v>98</v>
      </c>
      <c r="C70" s="16" t="s">
        <v>76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7">
        <f t="shared" si="7"/>
        <v>0</v>
      </c>
      <c r="AL70" s="5"/>
      <c r="AM70" s="5"/>
      <c r="AN70" s="5"/>
      <c r="AO70" s="5"/>
      <c r="AP70" s="5"/>
      <c r="AQ70" s="5"/>
      <c r="AR70" s="5"/>
    </row>
    <row r="71" ht="22.5" hidden="1" customHeight="1">
      <c r="A71" s="14" t="s">
        <v>77</v>
      </c>
      <c r="B71" s="15" t="s">
        <v>98</v>
      </c>
      <c r="C71" s="16" t="s">
        <v>78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7">
        <f t="shared" si="7"/>
        <v>0</v>
      </c>
      <c r="AL71" s="5"/>
      <c r="AM71" s="5"/>
      <c r="AN71" s="5"/>
      <c r="AO71" s="5"/>
      <c r="AP71" s="5"/>
      <c r="AQ71" s="5"/>
      <c r="AR71" s="5"/>
    </row>
    <row r="72" ht="22.5" hidden="1" customHeight="1">
      <c r="A72" s="14" t="s">
        <v>79</v>
      </c>
      <c r="B72" s="15" t="s">
        <v>98</v>
      </c>
      <c r="C72" s="16" t="s">
        <v>80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7">
        <f t="shared" si="7"/>
        <v>0</v>
      </c>
      <c r="AL72" s="5"/>
      <c r="AM72" s="5"/>
      <c r="AN72" s="5"/>
      <c r="AO72" s="5"/>
      <c r="AP72" s="5"/>
      <c r="AQ72" s="5"/>
      <c r="AR72" s="5"/>
    </row>
    <row r="73" ht="22.5" hidden="1" customHeight="1">
      <c r="A73" s="14" t="s">
        <v>81</v>
      </c>
      <c r="B73" s="15" t="s">
        <v>98</v>
      </c>
      <c r="C73" s="16" t="s">
        <v>82</v>
      </c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7">
        <f t="shared" si="7"/>
        <v>0</v>
      </c>
      <c r="AL73" s="5"/>
      <c r="AM73" s="5"/>
      <c r="AN73" s="5"/>
      <c r="AO73" s="5"/>
      <c r="AP73" s="5"/>
      <c r="AQ73" s="5"/>
      <c r="AR73" s="5"/>
    </row>
    <row r="74" ht="22.5" hidden="1" customHeight="1">
      <c r="A74" s="14" t="s">
        <v>83</v>
      </c>
      <c r="B74" s="15" t="s">
        <v>98</v>
      </c>
      <c r="C74" s="16" t="s">
        <v>84</v>
      </c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7">
        <f t="shared" si="7"/>
        <v>0</v>
      </c>
      <c r="AL74" s="5"/>
      <c r="AM74" s="5"/>
      <c r="AN74" s="5"/>
      <c r="AO74" s="5"/>
      <c r="AP74" s="5"/>
      <c r="AQ74" s="5"/>
      <c r="AR74" s="5"/>
    </row>
    <row r="75" ht="22.5" hidden="1" customHeight="1">
      <c r="A75" s="14" t="s">
        <v>85</v>
      </c>
      <c r="B75" s="15" t="s">
        <v>98</v>
      </c>
      <c r="C75" s="8" t="s">
        <v>86</v>
      </c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7">
        <f t="shared" si="7"/>
        <v>0</v>
      </c>
      <c r="AL75" s="5"/>
      <c r="AM75" s="5"/>
      <c r="AN75" s="5"/>
      <c r="AO75" s="5"/>
      <c r="AP75" s="5"/>
      <c r="AQ75" s="5"/>
      <c r="AR75" s="5"/>
    </row>
    <row r="76" ht="22.5" hidden="1" customHeight="1">
      <c r="A76" s="14">
        <v>18.0</v>
      </c>
      <c r="B76" s="15" t="s">
        <v>98</v>
      </c>
      <c r="C76" s="8" t="s">
        <v>87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5"/>
      <c r="AJ76" s="25"/>
      <c r="AK76" s="27">
        <f t="shared" si="7"/>
        <v>0</v>
      </c>
      <c r="AL76" s="5"/>
      <c r="AM76" s="5"/>
      <c r="AN76" s="5"/>
      <c r="AO76" s="5"/>
      <c r="AP76" s="5"/>
      <c r="AQ76" s="5"/>
      <c r="AR76" s="5"/>
    </row>
    <row r="77" ht="19.5" hidden="1" customHeight="1">
      <c r="A77" s="14">
        <v>28.0</v>
      </c>
      <c r="B77" s="15" t="s">
        <v>98</v>
      </c>
      <c r="C77" s="16" t="s">
        <v>88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7">
        <f t="shared" si="7"/>
        <v>0</v>
      </c>
      <c r="AL77" s="5"/>
      <c r="AM77" s="5"/>
      <c r="AN77" s="5"/>
      <c r="AO77" s="5"/>
      <c r="AP77" s="5"/>
      <c r="AQ77" s="5"/>
      <c r="AR77" s="5"/>
    </row>
    <row r="78" ht="22.5" hidden="1" customHeight="1">
      <c r="A78" s="14">
        <v>29.0</v>
      </c>
      <c r="B78" s="15" t="s">
        <v>98</v>
      </c>
      <c r="C78" s="8" t="s">
        <v>89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7">
        <f t="shared" si="7"/>
        <v>0</v>
      </c>
      <c r="AL78" s="5"/>
      <c r="AM78" s="5"/>
      <c r="AN78" s="5"/>
      <c r="AO78" s="5"/>
      <c r="AP78" s="5"/>
      <c r="AQ78" s="5"/>
      <c r="AR78" s="5"/>
    </row>
    <row r="79" ht="22.5" hidden="1" customHeight="1">
      <c r="A79" s="14" t="s">
        <v>90</v>
      </c>
      <c r="B79" s="15" t="s">
        <v>98</v>
      </c>
      <c r="C79" s="16" t="s">
        <v>91</v>
      </c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7">
        <f t="shared" si="7"/>
        <v>0</v>
      </c>
      <c r="AL79" s="5"/>
      <c r="AM79" s="5"/>
      <c r="AN79" s="5"/>
      <c r="AO79" s="5"/>
      <c r="AP79" s="5"/>
      <c r="AQ79" s="5"/>
      <c r="AR79" s="5"/>
    </row>
    <row r="80" ht="22.5" hidden="1" customHeight="1">
      <c r="A80" s="14" t="s">
        <v>96</v>
      </c>
      <c r="B80" s="15" t="s">
        <v>98</v>
      </c>
      <c r="C80" s="16" t="s">
        <v>92</v>
      </c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7">
        <f t="shared" si="7"/>
        <v>0</v>
      </c>
      <c r="AL80" s="5"/>
      <c r="AM80" s="5"/>
      <c r="AN80" s="5"/>
      <c r="AO80" s="5"/>
      <c r="AP80" s="5"/>
      <c r="AQ80" s="5"/>
      <c r="AR80" s="5"/>
    </row>
    <row r="81" ht="22.5" hidden="1" customHeight="1">
      <c r="A81" s="20">
        <v>47.0</v>
      </c>
      <c r="B81" s="15" t="s">
        <v>98</v>
      </c>
      <c r="C81" s="16" t="s">
        <v>93</v>
      </c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7">
        <f t="shared" si="7"/>
        <v>0</v>
      </c>
      <c r="AL81" s="5"/>
      <c r="AM81" s="5"/>
      <c r="AN81" s="5"/>
      <c r="AO81" s="5"/>
      <c r="AP81" s="5"/>
      <c r="AQ81" s="5"/>
      <c r="AR81" s="5"/>
    </row>
    <row r="82" ht="22.5" hidden="1" customHeight="1">
      <c r="A82" s="14"/>
      <c r="B82" s="15" t="s">
        <v>98</v>
      </c>
      <c r="C82" s="16" t="s">
        <v>94</v>
      </c>
      <c r="D82" s="27">
        <f t="shared" ref="D82:AK82" si="8">SUBTOTAL(9,D63:D81)</f>
        <v>0</v>
      </c>
      <c r="E82" s="27">
        <f t="shared" si="8"/>
        <v>0</v>
      </c>
      <c r="F82" s="27">
        <f t="shared" si="8"/>
        <v>0</v>
      </c>
      <c r="G82" s="27">
        <f t="shared" si="8"/>
        <v>0</v>
      </c>
      <c r="H82" s="27">
        <f t="shared" si="8"/>
        <v>0</v>
      </c>
      <c r="I82" s="27">
        <f t="shared" si="8"/>
        <v>0</v>
      </c>
      <c r="J82" s="27">
        <f t="shared" si="8"/>
        <v>0</v>
      </c>
      <c r="K82" s="27">
        <f t="shared" si="8"/>
        <v>0</v>
      </c>
      <c r="L82" s="27">
        <f t="shared" si="8"/>
        <v>0</v>
      </c>
      <c r="M82" s="27">
        <f t="shared" si="8"/>
        <v>0</v>
      </c>
      <c r="N82" s="27">
        <f t="shared" si="8"/>
        <v>0</v>
      </c>
      <c r="O82" s="27">
        <f t="shared" si="8"/>
        <v>0</v>
      </c>
      <c r="P82" s="27">
        <f t="shared" si="8"/>
        <v>0</v>
      </c>
      <c r="Q82" s="27">
        <f t="shared" si="8"/>
        <v>0</v>
      </c>
      <c r="R82" s="27">
        <f t="shared" si="8"/>
        <v>0</v>
      </c>
      <c r="S82" s="27">
        <f t="shared" si="8"/>
        <v>0</v>
      </c>
      <c r="T82" s="27">
        <f t="shared" si="8"/>
        <v>0</v>
      </c>
      <c r="U82" s="27">
        <f t="shared" si="8"/>
        <v>0</v>
      </c>
      <c r="V82" s="27">
        <f t="shared" si="8"/>
        <v>0</v>
      </c>
      <c r="W82" s="27">
        <f t="shared" si="8"/>
        <v>0</v>
      </c>
      <c r="X82" s="27">
        <f t="shared" si="8"/>
        <v>0</v>
      </c>
      <c r="Y82" s="27">
        <f t="shared" si="8"/>
        <v>0</v>
      </c>
      <c r="Z82" s="27">
        <f t="shared" si="8"/>
        <v>0</v>
      </c>
      <c r="AA82" s="27">
        <f t="shared" si="8"/>
        <v>0</v>
      </c>
      <c r="AB82" s="27">
        <f t="shared" si="8"/>
        <v>0</v>
      </c>
      <c r="AC82" s="27">
        <f t="shared" si="8"/>
        <v>0</v>
      </c>
      <c r="AD82" s="27">
        <f t="shared" si="8"/>
        <v>0</v>
      </c>
      <c r="AE82" s="27">
        <f t="shared" si="8"/>
        <v>0</v>
      </c>
      <c r="AF82" s="27">
        <f t="shared" si="8"/>
        <v>0</v>
      </c>
      <c r="AG82" s="27">
        <f t="shared" si="8"/>
        <v>0</v>
      </c>
      <c r="AH82" s="27">
        <f t="shared" si="8"/>
        <v>0</v>
      </c>
      <c r="AI82" s="27">
        <f t="shared" si="8"/>
        <v>0</v>
      </c>
      <c r="AJ82" s="27">
        <f t="shared" si="8"/>
        <v>0</v>
      </c>
      <c r="AK82" s="27">
        <f t="shared" si="8"/>
        <v>0</v>
      </c>
      <c r="AL82" s="5"/>
      <c r="AM82" s="5"/>
      <c r="AN82" s="5"/>
      <c r="AO82" s="5"/>
      <c r="AP82" s="5"/>
      <c r="AQ82" s="5"/>
      <c r="AR82" s="5"/>
    </row>
    <row r="83" ht="18.0" hidden="1" customHeight="1">
      <c r="A83" s="36"/>
      <c r="B83" s="37"/>
      <c r="C83" s="3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39">
        <f>COUNT(AK1:AK2)</f>
        <v>0</v>
      </c>
      <c r="AL83" s="5"/>
      <c r="AM83" s="5"/>
      <c r="AN83" s="5"/>
      <c r="AO83" s="5"/>
      <c r="AP83" s="5"/>
      <c r="AQ83" s="5"/>
      <c r="AR83" s="5"/>
    </row>
    <row r="84" ht="15.75" customHeight="1">
      <c r="A84" s="36"/>
      <c r="B84" s="37"/>
      <c r="C84" s="2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33"/>
      <c r="AL84" s="5"/>
      <c r="AM84" s="5"/>
      <c r="AN84" s="5"/>
      <c r="AO84" s="5"/>
      <c r="AP84" s="5"/>
      <c r="AQ84" s="5"/>
      <c r="AR84" s="5"/>
    </row>
    <row r="85" ht="15.75" customHeight="1">
      <c r="A85" s="36"/>
      <c r="B85" s="37"/>
      <c r="C85" s="2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33"/>
      <c r="AL85" s="5"/>
      <c r="AM85" s="5"/>
      <c r="AN85" s="5"/>
      <c r="AO85" s="5"/>
      <c r="AP85" s="5"/>
      <c r="AQ85" s="5"/>
      <c r="AR85" s="5"/>
    </row>
    <row r="86" ht="15.75" customHeight="1">
      <c r="A86" s="36"/>
      <c r="B86" s="37"/>
      <c r="C86" s="2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33"/>
      <c r="AL86" s="5"/>
      <c r="AM86" s="5"/>
      <c r="AN86" s="5"/>
      <c r="AO86" s="5"/>
      <c r="AP86" s="5"/>
      <c r="AQ86" s="5"/>
      <c r="AR86" s="5"/>
    </row>
    <row r="87" ht="15.75" customHeight="1">
      <c r="A87" s="36"/>
      <c r="B87" s="37"/>
      <c r="C87" s="2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33"/>
      <c r="AL87" s="5"/>
      <c r="AM87" s="5"/>
      <c r="AN87" s="5"/>
      <c r="AO87" s="5"/>
      <c r="AP87" s="5"/>
      <c r="AQ87" s="5"/>
      <c r="AR87" s="5"/>
    </row>
    <row r="88" ht="15.75" customHeight="1">
      <c r="A88" s="36"/>
      <c r="B88" s="37"/>
      <c r="C88" s="2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33"/>
      <c r="AL88" s="5"/>
      <c r="AM88" s="5"/>
      <c r="AN88" s="5"/>
      <c r="AO88" s="5"/>
      <c r="AP88" s="5"/>
      <c r="AQ88" s="5"/>
      <c r="AR88" s="5"/>
    </row>
    <row r="89" ht="15.75" customHeight="1">
      <c r="A89" s="36"/>
      <c r="B89" s="37"/>
      <c r="C89" s="2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33"/>
      <c r="AL89" s="5"/>
      <c r="AM89" s="5"/>
      <c r="AN89" s="5"/>
      <c r="AO89" s="5"/>
      <c r="AP89" s="5"/>
      <c r="AQ89" s="5"/>
      <c r="AR89" s="5"/>
    </row>
    <row r="90" ht="15.75" customHeight="1">
      <c r="A90" s="36"/>
      <c r="B90" s="37"/>
      <c r="C90" s="2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33"/>
      <c r="AL90" s="5"/>
      <c r="AM90" s="5"/>
      <c r="AN90" s="5"/>
      <c r="AO90" s="5"/>
      <c r="AP90" s="5"/>
      <c r="AQ90" s="5"/>
      <c r="AR90" s="5"/>
    </row>
    <row r="91" ht="15.75" customHeight="1">
      <c r="A91" s="36"/>
      <c r="B91" s="37"/>
      <c r="C91" s="2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33"/>
      <c r="AL91" s="5"/>
      <c r="AM91" s="5"/>
      <c r="AN91" s="5"/>
      <c r="AO91" s="5"/>
      <c r="AP91" s="5"/>
      <c r="AQ91" s="5"/>
      <c r="AR91" s="5"/>
    </row>
    <row r="92" ht="15.75" customHeight="1">
      <c r="A92" s="36"/>
      <c r="B92" s="37"/>
      <c r="C92" s="2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33"/>
      <c r="AL92" s="5"/>
      <c r="AM92" s="5"/>
      <c r="AN92" s="5"/>
      <c r="AO92" s="5"/>
      <c r="AP92" s="5"/>
      <c r="AQ92" s="5"/>
      <c r="AR92" s="5"/>
    </row>
    <row r="93" ht="15.75" customHeight="1">
      <c r="A93" s="36"/>
      <c r="B93" s="37"/>
      <c r="C93" s="2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33"/>
      <c r="AL93" s="5"/>
      <c r="AM93" s="5"/>
      <c r="AN93" s="5"/>
      <c r="AO93" s="5"/>
      <c r="AP93" s="5"/>
      <c r="AQ93" s="5"/>
      <c r="AR93" s="5"/>
    </row>
    <row r="94" ht="15.75" customHeight="1">
      <c r="A94" s="36"/>
      <c r="B94" s="37"/>
      <c r="C94" s="2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33"/>
      <c r="AL94" s="5"/>
      <c r="AM94" s="5"/>
      <c r="AN94" s="5"/>
      <c r="AO94" s="5"/>
      <c r="AP94" s="5"/>
      <c r="AQ94" s="5"/>
      <c r="AR94" s="5"/>
    </row>
    <row r="95" ht="15.75" customHeight="1">
      <c r="A95" s="36"/>
      <c r="B95" s="37"/>
      <c r="C95" s="2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33"/>
      <c r="AL95" s="5"/>
      <c r="AM95" s="5"/>
      <c r="AN95" s="5"/>
      <c r="AO95" s="5"/>
      <c r="AP95" s="5"/>
      <c r="AQ95" s="5"/>
      <c r="AR95" s="5"/>
    </row>
    <row r="96" ht="15.75" customHeight="1">
      <c r="A96" s="36"/>
      <c r="B96" s="37"/>
      <c r="C96" s="2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33"/>
      <c r="AL96" s="5"/>
      <c r="AM96" s="5"/>
      <c r="AN96" s="5"/>
      <c r="AO96" s="5"/>
      <c r="AP96" s="5"/>
      <c r="AQ96" s="5"/>
      <c r="AR96" s="5"/>
    </row>
    <row r="97" ht="15.75" customHeight="1">
      <c r="A97" s="36"/>
      <c r="B97" s="37"/>
      <c r="C97" s="2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33"/>
      <c r="AL97" s="5"/>
      <c r="AM97" s="5"/>
      <c r="AN97" s="5"/>
      <c r="AO97" s="5"/>
      <c r="AP97" s="5"/>
      <c r="AQ97" s="5"/>
      <c r="AR97" s="5"/>
    </row>
    <row r="98" ht="15.75" customHeight="1">
      <c r="A98" s="36"/>
      <c r="B98" s="37"/>
      <c r="C98" s="2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33"/>
      <c r="AL98" s="5"/>
      <c r="AM98" s="5"/>
      <c r="AN98" s="5"/>
      <c r="AO98" s="5"/>
      <c r="AP98" s="5"/>
      <c r="AQ98" s="5"/>
      <c r="AR98" s="5"/>
    </row>
    <row r="99" ht="15.75" customHeight="1">
      <c r="A99" s="36"/>
      <c r="B99" s="37"/>
      <c r="C99" s="2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33"/>
      <c r="AL99" s="5"/>
      <c r="AM99" s="5"/>
      <c r="AN99" s="5"/>
      <c r="AO99" s="5"/>
      <c r="AP99" s="5"/>
      <c r="AQ99" s="5"/>
      <c r="AR99" s="5"/>
    </row>
    <row r="100" ht="15.75" customHeight="1">
      <c r="A100" s="36"/>
      <c r="B100" s="37"/>
      <c r="C100" s="2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33"/>
      <c r="AL100" s="5"/>
      <c r="AM100" s="5"/>
      <c r="AN100" s="5"/>
      <c r="AO100" s="5"/>
      <c r="AP100" s="5"/>
      <c r="AQ100" s="5"/>
      <c r="AR100" s="5"/>
    </row>
    <row r="101" ht="15.75" customHeight="1">
      <c r="A101" s="36"/>
      <c r="B101" s="37"/>
      <c r="C101" s="2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33"/>
      <c r="AL101" s="5"/>
      <c r="AM101" s="5"/>
      <c r="AN101" s="5"/>
      <c r="AO101" s="5"/>
      <c r="AP101" s="5"/>
      <c r="AQ101" s="5"/>
      <c r="AR101" s="5"/>
    </row>
    <row r="102" ht="15.75" customHeight="1">
      <c r="A102" s="36"/>
      <c r="B102" s="37"/>
      <c r="C102" s="2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33"/>
      <c r="AL102" s="5"/>
      <c r="AM102" s="5"/>
      <c r="AN102" s="5"/>
      <c r="AO102" s="5"/>
      <c r="AP102" s="5"/>
      <c r="AQ102" s="5"/>
      <c r="AR102" s="5"/>
    </row>
    <row r="103" ht="15.75" customHeight="1">
      <c r="A103" s="36"/>
      <c r="B103" s="37"/>
      <c r="C103" s="2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33"/>
      <c r="AL103" s="5"/>
      <c r="AM103" s="5"/>
      <c r="AN103" s="5"/>
      <c r="AO103" s="5"/>
      <c r="AP103" s="5"/>
      <c r="AQ103" s="5"/>
      <c r="AR103" s="5"/>
    </row>
    <row r="104" ht="15.75" customHeight="1">
      <c r="A104" s="36"/>
      <c r="B104" s="37"/>
      <c r="C104" s="2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33"/>
      <c r="AL104" s="5"/>
      <c r="AM104" s="5"/>
      <c r="AN104" s="5"/>
      <c r="AO104" s="5"/>
      <c r="AP104" s="5"/>
      <c r="AQ104" s="5"/>
      <c r="AR104" s="5"/>
    </row>
    <row r="105" ht="15.75" customHeight="1">
      <c r="A105" s="36"/>
      <c r="B105" s="37"/>
      <c r="C105" s="2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33"/>
      <c r="AL105" s="5"/>
      <c r="AM105" s="5"/>
      <c r="AN105" s="5"/>
      <c r="AO105" s="5"/>
      <c r="AP105" s="5"/>
      <c r="AQ105" s="5"/>
      <c r="AR105" s="5"/>
    </row>
    <row r="106" ht="15.75" customHeight="1">
      <c r="A106" s="36"/>
      <c r="B106" s="37"/>
      <c r="C106" s="2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33"/>
      <c r="AL106" s="5"/>
      <c r="AM106" s="5"/>
      <c r="AN106" s="5"/>
      <c r="AO106" s="5"/>
      <c r="AP106" s="5"/>
      <c r="AQ106" s="5"/>
      <c r="AR106" s="5"/>
    </row>
    <row r="107" ht="15.75" customHeight="1">
      <c r="A107" s="36"/>
      <c r="B107" s="37"/>
      <c r="C107" s="2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33"/>
      <c r="AL107" s="5"/>
      <c r="AM107" s="5"/>
      <c r="AN107" s="5"/>
      <c r="AO107" s="5"/>
      <c r="AP107" s="5"/>
      <c r="AQ107" s="5"/>
      <c r="AR107" s="5"/>
    </row>
    <row r="108" ht="15.75" customHeight="1">
      <c r="A108" s="36"/>
      <c r="B108" s="37"/>
      <c r="C108" s="2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33"/>
      <c r="AL108" s="5"/>
      <c r="AM108" s="5"/>
      <c r="AN108" s="5"/>
      <c r="AO108" s="5"/>
      <c r="AP108" s="5"/>
      <c r="AQ108" s="5"/>
      <c r="AR108" s="5"/>
    </row>
    <row r="109" ht="15.75" customHeight="1">
      <c r="A109" s="36"/>
      <c r="B109" s="37"/>
      <c r="C109" s="2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33"/>
      <c r="AL109" s="5"/>
      <c r="AM109" s="5"/>
      <c r="AN109" s="5"/>
      <c r="AO109" s="5"/>
      <c r="AP109" s="5"/>
      <c r="AQ109" s="5"/>
      <c r="AR109" s="5"/>
    </row>
    <row r="110" ht="15.75" customHeight="1">
      <c r="A110" s="36"/>
      <c r="B110" s="37"/>
      <c r="C110" s="2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33"/>
      <c r="AL110" s="5"/>
      <c r="AM110" s="5"/>
      <c r="AN110" s="5"/>
      <c r="AO110" s="5"/>
      <c r="AP110" s="5"/>
      <c r="AQ110" s="5"/>
      <c r="AR110" s="5"/>
    </row>
    <row r="111" ht="15.75" customHeight="1">
      <c r="A111" s="36"/>
      <c r="B111" s="37"/>
      <c r="C111" s="2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33"/>
      <c r="AL111" s="5"/>
      <c r="AM111" s="5"/>
      <c r="AN111" s="5"/>
      <c r="AO111" s="5"/>
      <c r="AP111" s="5"/>
      <c r="AQ111" s="5"/>
      <c r="AR111" s="5"/>
    </row>
    <row r="112" ht="15.75" customHeight="1">
      <c r="A112" s="36"/>
      <c r="B112" s="37"/>
      <c r="C112" s="2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33"/>
      <c r="AL112" s="5"/>
      <c r="AM112" s="5"/>
      <c r="AN112" s="5"/>
      <c r="AO112" s="5"/>
      <c r="AP112" s="5"/>
      <c r="AQ112" s="5"/>
      <c r="AR112" s="5"/>
    </row>
    <row r="113" ht="15.75" customHeight="1">
      <c r="A113" s="36"/>
      <c r="B113" s="37"/>
      <c r="C113" s="2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33"/>
      <c r="AL113" s="5"/>
      <c r="AM113" s="5"/>
      <c r="AN113" s="5"/>
      <c r="AO113" s="5"/>
      <c r="AP113" s="5"/>
      <c r="AQ113" s="5"/>
      <c r="AR113" s="5"/>
    </row>
    <row r="114" ht="15.75" customHeight="1">
      <c r="A114" s="36"/>
      <c r="B114" s="37"/>
      <c r="C114" s="2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33"/>
      <c r="AL114" s="5"/>
      <c r="AM114" s="5"/>
      <c r="AN114" s="5"/>
      <c r="AO114" s="5"/>
      <c r="AP114" s="5"/>
      <c r="AQ114" s="5"/>
      <c r="AR114" s="5"/>
    </row>
    <row r="115" ht="15.75" customHeight="1">
      <c r="A115" s="36"/>
      <c r="B115" s="37"/>
      <c r="C115" s="2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33"/>
      <c r="AL115" s="5"/>
      <c r="AM115" s="5"/>
      <c r="AN115" s="5"/>
      <c r="AO115" s="5"/>
      <c r="AP115" s="5"/>
      <c r="AQ115" s="5"/>
      <c r="AR115" s="5"/>
    </row>
    <row r="116" ht="15.75" customHeight="1">
      <c r="A116" s="36"/>
      <c r="B116" s="37"/>
      <c r="C116" s="2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33"/>
      <c r="AL116" s="5"/>
      <c r="AM116" s="5"/>
      <c r="AN116" s="5"/>
      <c r="AO116" s="5"/>
      <c r="AP116" s="5"/>
      <c r="AQ116" s="5"/>
      <c r="AR116" s="5"/>
    </row>
    <row r="117" ht="15.75" customHeight="1">
      <c r="A117" s="36"/>
      <c r="B117" s="37"/>
      <c r="C117" s="2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33"/>
      <c r="AL117" s="5"/>
      <c r="AM117" s="5"/>
      <c r="AN117" s="5"/>
      <c r="AO117" s="5"/>
      <c r="AP117" s="5"/>
      <c r="AQ117" s="5"/>
      <c r="AR117" s="5"/>
    </row>
    <row r="118" ht="15.75" customHeight="1">
      <c r="A118" s="36"/>
      <c r="B118" s="37"/>
      <c r="C118" s="2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33"/>
      <c r="AL118" s="5"/>
      <c r="AM118" s="5"/>
      <c r="AN118" s="5"/>
      <c r="AO118" s="5"/>
      <c r="AP118" s="5"/>
      <c r="AQ118" s="5"/>
      <c r="AR118" s="5"/>
    </row>
    <row r="119" ht="15.75" customHeight="1">
      <c r="A119" s="36"/>
      <c r="B119" s="37"/>
      <c r="C119" s="2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33"/>
      <c r="AL119" s="5"/>
      <c r="AM119" s="5"/>
      <c r="AN119" s="5"/>
      <c r="AO119" s="5"/>
      <c r="AP119" s="5"/>
      <c r="AQ119" s="5"/>
      <c r="AR119" s="5"/>
    </row>
    <row r="120" ht="15.75" customHeight="1">
      <c r="A120" s="36"/>
      <c r="B120" s="37"/>
      <c r="C120" s="2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33"/>
      <c r="AL120" s="5"/>
      <c r="AM120" s="5"/>
      <c r="AN120" s="5"/>
      <c r="AO120" s="5"/>
      <c r="AP120" s="5"/>
      <c r="AQ120" s="5"/>
      <c r="AR120" s="5"/>
    </row>
    <row r="121" ht="15.75" customHeight="1">
      <c r="A121" s="36"/>
      <c r="B121" s="37"/>
      <c r="C121" s="2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33"/>
      <c r="AL121" s="5"/>
      <c r="AM121" s="5"/>
      <c r="AN121" s="5"/>
      <c r="AO121" s="5"/>
      <c r="AP121" s="5"/>
      <c r="AQ121" s="5"/>
      <c r="AR121" s="5"/>
    </row>
    <row r="122" ht="15.75" customHeight="1">
      <c r="A122" s="36"/>
      <c r="B122" s="37"/>
      <c r="C122" s="2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33"/>
      <c r="AL122" s="5"/>
      <c r="AM122" s="5"/>
      <c r="AN122" s="5"/>
      <c r="AO122" s="5"/>
      <c r="AP122" s="5"/>
      <c r="AQ122" s="5"/>
      <c r="AR122" s="5"/>
    </row>
    <row r="123" ht="15.75" customHeight="1">
      <c r="A123" s="36"/>
      <c r="B123" s="37"/>
      <c r="C123" s="2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33"/>
      <c r="AL123" s="5"/>
      <c r="AM123" s="5"/>
      <c r="AN123" s="5"/>
      <c r="AO123" s="5"/>
      <c r="AP123" s="5"/>
      <c r="AQ123" s="5"/>
      <c r="AR123" s="5"/>
    </row>
    <row r="124" ht="15.75" customHeight="1">
      <c r="A124" s="36"/>
      <c r="B124" s="37"/>
      <c r="C124" s="2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33"/>
      <c r="AL124" s="5"/>
      <c r="AM124" s="5"/>
      <c r="AN124" s="5"/>
      <c r="AO124" s="5"/>
      <c r="AP124" s="5"/>
      <c r="AQ124" s="5"/>
      <c r="AR124" s="5"/>
    </row>
    <row r="125" ht="15.75" customHeight="1">
      <c r="A125" s="36"/>
      <c r="B125" s="37"/>
      <c r="C125" s="2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33"/>
      <c r="AL125" s="5"/>
      <c r="AM125" s="5"/>
      <c r="AN125" s="5"/>
      <c r="AO125" s="5"/>
      <c r="AP125" s="5"/>
      <c r="AQ125" s="5"/>
      <c r="AR125" s="5"/>
    </row>
    <row r="126" ht="15.75" customHeight="1">
      <c r="A126" s="36"/>
      <c r="B126" s="37"/>
      <c r="C126" s="2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33"/>
      <c r="AL126" s="5"/>
      <c r="AM126" s="5"/>
      <c r="AN126" s="5"/>
      <c r="AO126" s="5"/>
      <c r="AP126" s="5"/>
      <c r="AQ126" s="5"/>
      <c r="AR126" s="5"/>
    </row>
    <row r="127" ht="15.75" customHeight="1">
      <c r="A127" s="36"/>
      <c r="B127" s="37"/>
      <c r="C127" s="2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33"/>
      <c r="AL127" s="5"/>
      <c r="AM127" s="5"/>
      <c r="AN127" s="5"/>
      <c r="AO127" s="5"/>
      <c r="AP127" s="5"/>
      <c r="AQ127" s="5"/>
      <c r="AR127" s="5"/>
    </row>
    <row r="128" ht="15.75" customHeight="1">
      <c r="A128" s="36"/>
      <c r="B128" s="37"/>
      <c r="C128" s="2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33"/>
      <c r="AL128" s="5"/>
      <c r="AM128" s="5"/>
      <c r="AN128" s="5"/>
      <c r="AO128" s="5"/>
      <c r="AP128" s="5"/>
      <c r="AQ128" s="5"/>
      <c r="AR128" s="5"/>
    </row>
    <row r="129" ht="15.75" customHeight="1">
      <c r="A129" s="36"/>
      <c r="B129" s="37"/>
      <c r="C129" s="2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33"/>
      <c r="AL129" s="5"/>
      <c r="AM129" s="5"/>
      <c r="AN129" s="5"/>
      <c r="AO129" s="5"/>
      <c r="AP129" s="5"/>
      <c r="AQ129" s="5"/>
      <c r="AR129" s="5"/>
    </row>
    <row r="130" ht="15.75" customHeight="1">
      <c r="A130" s="36"/>
      <c r="B130" s="37"/>
      <c r="C130" s="2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33"/>
      <c r="AL130" s="5"/>
      <c r="AM130" s="5"/>
      <c r="AN130" s="5"/>
      <c r="AO130" s="5"/>
      <c r="AP130" s="5"/>
      <c r="AQ130" s="5"/>
      <c r="AR130" s="5"/>
    </row>
    <row r="131" ht="15.75" customHeight="1">
      <c r="A131" s="36"/>
      <c r="B131" s="37"/>
      <c r="C131" s="2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33"/>
      <c r="AL131" s="5"/>
      <c r="AM131" s="5"/>
      <c r="AN131" s="5"/>
      <c r="AO131" s="5"/>
      <c r="AP131" s="5"/>
      <c r="AQ131" s="5"/>
      <c r="AR131" s="5"/>
    </row>
    <row r="132" ht="15.75" customHeight="1">
      <c r="A132" s="36"/>
      <c r="B132" s="37"/>
      <c r="C132" s="2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33"/>
      <c r="AL132" s="5"/>
      <c r="AM132" s="5"/>
      <c r="AN132" s="5"/>
      <c r="AO132" s="5"/>
      <c r="AP132" s="5"/>
      <c r="AQ132" s="5"/>
      <c r="AR132" s="5"/>
    </row>
    <row r="133" ht="15.75" customHeight="1">
      <c r="A133" s="36"/>
      <c r="B133" s="37"/>
      <c r="C133" s="2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33"/>
      <c r="AL133" s="5"/>
      <c r="AM133" s="5"/>
      <c r="AN133" s="5"/>
      <c r="AO133" s="5"/>
      <c r="AP133" s="5"/>
      <c r="AQ133" s="5"/>
      <c r="AR133" s="5"/>
    </row>
    <row r="134" ht="15.75" customHeight="1">
      <c r="A134" s="36"/>
      <c r="B134" s="37"/>
      <c r="C134" s="2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33"/>
      <c r="AL134" s="5"/>
      <c r="AM134" s="5"/>
      <c r="AN134" s="5"/>
      <c r="AO134" s="5"/>
      <c r="AP134" s="5"/>
      <c r="AQ134" s="5"/>
      <c r="AR134" s="5"/>
    </row>
    <row r="135" ht="15.75" customHeight="1">
      <c r="A135" s="36"/>
      <c r="B135" s="37"/>
      <c r="C135" s="2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33"/>
      <c r="AL135" s="5"/>
      <c r="AM135" s="5"/>
      <c r="AN135" s="5"/>
      <c r="AO135" s="5"/>
      <c r="AP135" s="5"/>
      <c r="AQ135" s="5"/>
      <c r="AR135" s="5"/>
    </row>
    <row r="136" ht="15.75" customHeight="1">
      <c r="A136" s="36"/>
      <c r="B136" s="37"/>
      <c r="C136" s="2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33"/>
      <c r="AL136" s="5"/>
      <c r="AM136" s="5"/>
      <c r="AN136" s="5"/>
      <c r="AO136" s="5"/>
      <c r="AP136" s="5"/>
      <c r="AQ136" s="5"/>
      <c r="AR136" s="5"/>
    </row>
    <row r="137" ht="15.75" customHeight="1">
      <c r="A137" s="36"/>
      <c r="B137" s="37"/>
      <c r="C137" s="2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33"/>
      <c r="AL137" s="5"/>
      <c r="AM137" s="5"/>
      <c r="AN137" s="5"/>
      <c r="AO137" s="5"/>
      <c r="AP137" s="5"/>
      <c r="AQ137" s="5"/>
      <c r="AR137" s="5"/>
    </row>
    <row r="138" ht="15.75" customHeight="1">
      <c r="A138" s="36"/>
      <c r="B138" s="37"/>
      <c r="C138" s="2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33"/>
      <c r="AL138" s="5"/>
      <c r="AM138" s="5"/>
      <c r="AN138" s="5"/>
      <c r="AO138" s="5"/>
      <c r="AP138" s="5"/>
      <c r="AQ138" s="5"/>
      <c r="AR138" s="5"/>
    </row>
    <row r="139" ht="15.75" customHeight="1">
      <c r="A139" s="36"/>
      <c r="B139" s="37"/>
      <c r="C139" s="2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33"/>
      <c r="AL139" s="5"/>
      <c r="AM139" s="5"/>
      <c r="AN139" s="5"/>
      <c r="AO139" s="5"/>
      <c r="AP139" s="5"/>
      <c r="AQ139" s="5"/>
      <c r="AR139" s="5"/>
    </row>
    <row r="140" ht="15.75" customHeight="1">
      <c r="A140" s="36"/>
      <c r="B140" s="37"/>
      <c r="C140" s="2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33"/>
      <c r="AL140" s="5"/>
      <c r="AM140" s="5"/>
      <c r="AN140" s="5"/>
      <c r="AO140" s="5"/>
      <c r="AP140" s="5"/>
      <c r="AQ140" s="5"/>
      <c r="AR140" s="5"/>
    </row>
    <row r="141" ht="15.75" customHeight="1">
      <c r="A141" s="36"/>
      <c r="B141" s="37"/>
      <c r="C141" s="2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33"/>
      <c r="AL141" s="5"/>
      <c r="AM141" s="5"/>
      <c r="AN141" s="5"/>
      <c r="AO141" s="5"/>
      <c r="AP141" s="5"/>
      <c r="AQ141" s="5"/>
      <c r="AR141" s="5"/>
    </row>
    <row r="142" ht="15.75" customHeight="1">
      <c r="A142" s="36"/>
      <c r="B142" s="37"/>
      <c r="C142" s="2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33"/>
      <c r="AL142" s="5"/>
      <c r="AM142" s="5"/>
      <c r="AN142" s="5"/>
      <c r="AO142" s="5"/>
      <c r="AP142" s="5"/>
      <c r="AQ142" s="5"/>
      <c r="AR142" s="5"/>
    </row>
    <row r="143" ht="15.75" customHeight="1">
      <c r="A143" s="36"/>
      <c r="B143" s="37"/>
      <c r="C143" s="2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33"/>
      <c r="AL143" s="5"/>
      <c r="AM143" s="5"/>
      <c r="AN143" s="5"/>
      <c r="AO143" s="5"/>
      <c r="AP143" s="5"/>
      <c r="AQ143" s="5"/>
      <c r="AR143" s="5"/>
    </row>
    <row r="144" ht="15.75" customHeight="1">
      <c r="A144" s="36"/>
      <c r="B144" s="37"/>
      <c r="C144" s="2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33"/>
      <c r="AL144" s="5"/>
      <c r="AM144" s="5"/>
      <c r="AN144" s="5"/>
      <c r="AO144" s="5"/>
      <c r="AP144" s="5"/>
      <c r="AQ144" s="5"/>
      <c r="AR144" s="5"/>
    </row>
    <row r="145" ht="15.75" customHeight="1">
      <c r="A145" s="36"/>
      <c r="B145" s="37"/>
      <c r="C145" s="2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33"/>
      <c r="AL145" s="5"/>
      <c r="AM145" s="5"/>
      <c r="AN145" s="5"/>
      <c r="AO145" s="5"/>
      <c r="AP145" s="5"/>
      <c r="AQ145" s="5"/>
      <c r="AR145" s="5"/>
    </row>
    <row r="146" ht="15.75" customHeight="1">
      <c r="A146" s="36"/>
      <c r="B146" s="37"/>
      <c r="C146" s="2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33"/>
      <c r="AL146" s="5"/>
      <c r="AM146" s="5"/>
      <c r="AN146" s="5"/>
      <c r="AO146" s="5"/>
      <c r="AP146" s="5"/>
      <c r="AQ146" s="5"/>
      <c r="AR146" s="5"/>
    </row>
    <row r="147" ht="15.75" customHeight="1">
      <c r="A147" s="36"/>
      <c r="B147" s="37"/>
      <c r="C147" s="2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33"/>
      <c r="AL147" s="5"/>
      <c r="AM147" s="5"/>
      <c r="AN147" s="5"/>
      <c r="AO147" s="5"/>
      <c r="AP147" s="5"/>
      <c r="AQ147" s="5"/>
      <c r="AR147" s="5"/>
    </row>
    <row r="148" ht="15.75" customHeight="1">
      <c r="A148" s="36"/>
      <c r="B148" s="37"/>
      <c r="C148" s="2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33"/>
      <c r="AL148" s="5"/>
      <c r="AM148" s="5"/>
      <c r="AN148" s="5"/>
      <c r="AO148" s="5"/>
      <c r="AP148" s="5"/>
      <c r="AQ148" s="5"/>
      <c r="AR148" s="5"/>
    </row>
    <row r="149" ht="15.75" customHeight="1">
      <c r="A149" s="36"/>
      <c r="B149" s="37"/>
      <c r="C149" s="2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33"/>
      <c r="AL149" s="5"/>
      <c r="AM149" s="5"/>
      <c r="AN149" s="5"/>
      <c r="AO149" s="5"/>
      <c r="AP149" s="5"/>
      <c r="AQ149" s="5"/>
      <c r="AR149" s="5"/>
    </row>
    <row r="150" ht="15.75" customHeight="1">
      <c r="A150" s="36"/>
      <c r="B150" s="37"/>
      <c r="C150" s="2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33"/>
      <c r="AL150" s="5"/>
      <c r="AM150" s="5"/>
      <c r="AN150" s="5"/>
      <c r="AO150" s="5"/>
      <c r="AP150" s="5"/>
      <c r="AQ150" s="5"/>
      <c r="AR150" s="5"/>
    </row>
    <row r="151" ht="15.75" customHeight="1">
      <c r="A151" s="36"/>
      <c r="B151" s="37"/>
      <c r="C151" s="2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33"/>
      <c r="AL151" s="5"/>
      <c r="AM151" s="5"/>
      <c r="AN151" s="5"/>
      <c r="AO151" s="5"/>
      <c r="AP151" s="5"/>
      <c r="AQ151" s="5"/>
      <c r="AR151" s="5"/>
    </row>
    <row r="152" ht="15.75" customHeight="1">
      <c r="A152" s="36"/>
      <c r="B152" s="37"/>
      <c r="C152" s="2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33"/>
      <c r="AL152" s="5"/>
      <c r="AM152" s="5"/>
      <c r="AN152" s="5"/>
      <c r="AO152" s="5"/>
      <c r="AP152" s="5"/>
      <c r="AQ152" s="5"/>
      <c r="AR152" s="5"/>
    </row>
    <row r="153" ht="15.75" customHeight="1">
      <c r="A153" s="36"/>
      <c r="B153" s="37"/>
      <c r="C153" s="2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33"/>
      <c r="AL153" s="5"/>
      <c r="AM153" s="5"/>
      <c r="AN153" s="5"/>
      <c r="AO153" s="5"/>
      <c r="AP153" s="5"/>
      <c r="AQ153" s="5"/>
      <c r="AR153" s="5"/>
    </row>
    <row r="154" ht="15.75" customHeight="1">
      <c r="A154" s="36"/>
      <c r="B154" s="37"/>
      <c r="C154" s="2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33"/>
      <c r="AL154" s="5"/>
      <c r="AM154" s="5"/>
      <c r="AN154" s="5"/>
      <c r="AO154" s="5"/>
      <c r="AP154" s="5"/>
      <c r="AQ154" s="5"/>
      <c r="AR154" s="5"/>
    </row>
    <row r="155" ht="15.75" customHeight="1">
      <c r="A155" s="36"/>
      <c r="B155" s="37"/>
      <c r="C155" s="2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33"/>
      <c r="AL155" s="5"/>
      <c r="AM155" s="5"/>
      <c r="AN155" s="5"/>
      <c r="AO155" s="5"/>
      <c r="AP155" s="5"/>
      <c r="AQ155" s="5"/>
      <c r="AR155" s="5"/>
    </row>
    <row r="156" ht="15.75" customHeight="1">
      <c r="A156" s="36"/>
      <c r="B156" s="37"/>
      <c r="C156" s="2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33"/>
      <c r="AL156" s="5"/>
      <c r="AM156" s="5"/>
      <c r="AN156" s="5"/>
      <c r="AO156" s="5"/>
      <c r="AP156" s="5"/>
      <c r="AQ156" s="5"/>
      <c r="AR156" s="5"/>
    </row>
    <row r="157" ht="15.75" customHeight="1">
      <c r="A157" s="36"/>
      <c r="B157" s="37"/>
      <c r="C157" s="2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33"/>
      <c r="AL157" s="5"/>
      <c r="AM157" s="5"/>
      <c r="AN157" s="5"/>
      <c r="AO157" s="5"/>
      <c r="AP157" s="5"/>
      <c r="AQ157" s="5"/>
      <c r="AR157" s="5"/>
    </row>
    <row r="158" ht="15.75" customHeight="1">
      <c r="A158" s="36"/>
      <c r="B158" s="37"/>
      <c r="C158" s="2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33"/>
      <c r="AL158" s="5"/>
      <c r="AM158" s="5"/>
      <c r="AN158" s="5"/>
      <c r="AO158" s="5"/>
      <c r="AP158" s="5"/>
      <c r="AQ158" s="5"/>
      <c r="AR158" s="5"/>
    </row>
    <row r="159" ht="15.75" customHeight="1">
      <c r="A159" s="36"/>
      <c r="B159" s="37"/>
      <c r="C159" s="2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33"/>
      <c r="AL159" s="5"/>
      <c r="AM159" s="5"/>
      <c r="AN159" s="5"/>
      <c r="AO159" s="5"/>
      <c r="AP159" s="5"/>
      <c r="AQ159" s="5"/>
      <c r="AR159" s="5"/>
    </row>
    <row r="160" ht="15.75" customHeight="1">
      <c r="A160" s="36"/>
      <c r="B160" s="37"/>
      <c r="C160" s="2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33"/>
      <c r="AL160" s="5"/>
      <c r="AM160" s="5"/>
      <c r="AN160" s="5"/>
      <c r="AO160" s="5"/>
      <c r="AP160" s="5"/>
      <c r="AQ160" s="5"/>
      <c r="AR160" s="5"/>
    </row>
    <row r="161" ht="15.75" customHeight="1">
      <c r="A161" s="36"/>
      <c r="B161" s="37"/>
      <c r="C161" s="2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33"/>
      <c r="AL161" s="5"/>
      <c r="AM161" s="5"/>
      <c r="AN161" s="5"/>
      <c r="AO161" s="5"/>
      <c r="AP161" s="5"/>
      <c r="AQ161" s="5"/>
      <c r="AR161" s="5"/>
    </row>
    <row r="162" ht="15.75" customHeight="1">
      <c r="A162" s="36"/>
      <c r="B162" s="37"/>
      <c r="C162" s="2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33"/>
      <c r="AL162" s="5"/>
      <c r="AM162" s="5"/>
      <c r="AN162" s="5"/>
      <c r="AO162" s="5"/>
      <c r="AP162" s="5"/>
      <c r="AQ162" s="5"/>
      <c r="AR162" s="5"/>
    </row>
    <row r="163" ht="15.75" customHeight="1">
      <c r="A163" s="36"/>
      <c r="B163" s="37"/>
      <c r="C163" s="2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33"/>
      <c r="AL163" s="5"/>
      <c r="AM163" s="5"/>
      <c r="AN163" s="5"/>
      <c r="AO163" s="5"/>
      <c r="AP163" s="5"/>
      <c r="AQ163" s="5"/>
      <c r="AR163" s="5"/>
    </row>
    <row r="164" ht="15.75" customHeight="1">
      <c r="A164" s="36"/>
      <c r="B164" s="37"/>
      <c r="C164" s="2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33"/>
      <c r="AL164" s="5"/>
      <c r="AM164" s="5"/>
      <c r="AN164" s="5"/>
      <c r="AO164" s="5"/>
      <c r="AP164" s="5"/>
      <c r="AQ164" s="5"/>
      <c r="AR164" s="5"/>
    </row>
    <row r="165" ht="15.75" customHeight="1">
      <c r="A165" s="36"/>
      <c r="B165" s="37"/>
      <c r="C165" s="2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33"/>
      <c r="AL165" s="5"/>
      <c r="AM165" s="5"/>
      <c r="AN165" s="5"/>
      <c r="AO165" s="5"/>
      <c r="AP165" s="5"/>
      <c r="AQ165" s="5"/>
      <c r="AR165" s="5"/>
    </row>
    <row r="166" ht="15.75" customHeight="1">
      <c r="A166" s="36"/>
      <c r="B166" s="37"/>
      <c r="C166" s="2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33"/>
      <c r="AL166" s="5"/>
      <c r="AM166" s="5"/>
      <c r="AN166" s="5"/>
      <c r="AO166" s="5"/>
      <c r="AP166" s="5"/>
      <c r="AQ166" s="5"/>
      <c r="AR166" s="5"/>
    </row>
    <row r="167" ht="15.75" customHeight="1">
      <c r="A167" s="36"/>
      <c r="B167" s="37"/>
      <c r="C167" s="2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33"/>
      <c r="AL167" s="5"/>
      <c r="AM167" s="5"/>
      <c r="AN167" s="5"/>
      <c r="AO167" s="5"/>
      <c r="AP167" s="5"/>
      <c r="AQ167" s="5"/>
      <c r="AR167" s="5"/>
    </row>
    <row r="168" ht="15.75" customHeight="1">
      <c r="A168" s="36"/>
      <c r="B168" s="37"/>
      <c r="C168" s="2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33"/>
      <c r="AL168" s="5"/>
      <c r="AM168" s="5"/>
      <c r="AN168" s="5"/>
      <c r="AO168" s="5"/>
      <c r="AP168" s="5"/>
      <c r="AQ168" s="5"/>
      <c r="AR168" s="5"/>
    </row>
    <row r="169" ht="15.75" customHeight="1">
      <c r="A169" s="36"/>
      <c r="B169" s="37"/>
      <c r="C169" s="2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33"/>
      <c r="AL169" s="5"/>
      <c r="AM169" s="5"/>
      <c r="AN169" s="5"/>
      <c r="AO169" s="5"/>
      <c r="AP169" s="5"/>
      <c r="AQ169" s="5"/>
      <c r="AR169" s="5"/>
    </row>
    <row r="170" ht="15.75" customHeight="1">
      <c r="A170" s="36"/>
      <c r="B170" s="37"/>
      <c r="C170" s="2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33"/>
      <c r="AL170" s="5"/>
      <c r="AM170" s="5"/>
      <c r="AN170" s="5"/>
      <c r="AO170" s="5"/>
      <c r="AP170" s="5"/>
      <c r="AQ170" s="5"/>
      <c r="AR170" s="5"/>
    </row>
    <row r="171" ht="15.75" customHeight="1">
      <c r="A171" s="36"/>
      <c r="B171" s="37"/>
      <c r="C171" s="2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33"/>
      <c r="AL171" s="5"/>
      <c r="AM171" s="5"/>
      <c r="AN171" s="5"/>
      <c r="AO171" s="5"/>
      <c r="AP171" s="5"/>
      <c r="AQ171" s="5"/>
      <c r="AR171" s="5"/>
    </row>
    <row r="172" ht="15.75" customHeight="1">
      <c r="A172" s="36"/>
      <c r="B172" s="37"/>
      <c r="C172" s="2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33"/>
      <c r="AL172" s="5"/>
      <c r="AM172" s="5"/>
      <c r="AN172" s="5"/>
      <c r="AO172" s="5"/>
      <c r="AP172" s="5"/>
      <c r="AQ172" s="5"/>
      <c r="AR172" s="5"/>
    </row>
    <row r="173" ht="15.75" customHeight="1">
      <c r="A173" s="36"/>
      <c r="B173" s="37"/>
      <c r="C173" s="2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33"/>
      <c r="AL173" s="5"/>
      <c r="AM173" s="5"/>
      <c r="AN173" s="5"/>
      <c r="AO173" s="5"/>
      <c r="AP173" s="5"/>
      <c r="AQ173" s="5"/>
      <c r="AR173" s="5"/>
    </row>
    <row r="174" ht="15.75" customHeight="1">
      <c r="A174" s="36"/>
      <c r="B174" s="37"/>
      <c r="C174" s="2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33"/>
      <c r="AL174" s="5"/>
      <c r="AM174" s="5"/>
      <c r="AN174" s="5"/>
      <c r="AO174" s="5"/>
      <c r="AP174" s="5"/>
      <c r="AQ174" s="5"/>
      <c r="AR174" s="5"/>
    </row>
    <row r="175" ht="15.75" customHeight="1">
      <c r="A175" s="36"/>
      <c r="B175" s="37"/>
      <c r="C175" s="2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33"/>
      <c r="AL175" s="5"/>
      <c r="AM175" s="5"/>
      <c r="AN175" s="5"/>
      <c r="AO175" s="5"/>
      <c r="AP175" s="5"/>
      <c r="AQ175" s="5"/>
      <c r="AR175" s="5"/>
    </row>
    <row r="176" ht="15.75" customHeight="1">
      <c r="A176" s="36"/>
      <c r="B176" s="37"/>
      <c r="C176" s="2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33"/>
      <c r="AL176" s="5"/>
      <c r="AM176" s="5"/>
      <c r="AN176" s="5"/>
      <c r="AO176" s="5"/>
      <c r="AP176" s="5"/>
      <c r="AQ176" s="5"/>
      <c r="AR176" s="5"/>
    </row>
    <row r="177" ht="15.75" customHeight="1">
      <c r="A177" s="36"/>
      <c r="B177" s="37"/>
      <c r="C177" s="2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33"/>
      <c r="AL177" s="5"/>
      <c r="AM177" s="5"/>
      <c r="AN177" s="5"/>
      <c r="AO177" s="5"/>
      <c r="AP177" s="5"/>
      <c r="AQ177" s="5"/>
      <c r="AR177" s="5"/>
    </row>
    <row r="178" ht="15.75" customHeight="1">
      <c r="A178" s="36"/>
      <c r="B178" s="37"/>
      <c r="C178" s="2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33"/>
      <c r="AL178" s="5"/>
      <c r="AM178" s="5"/>
      <c r="AN178" s="5"/>
      <c r="AO178" s="5"/>
      <c r="AP178" s="5"/>
      <c r="AQ178" s="5"/>
      <c r="AR178" s="5"/>
    </row>
    <row r="179" ht="15.75" customHeight="1">
      <c r="A179" s="36"/>
      <c r="B179" s="37"/>
      <c r="C179" s="2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33"/>
      <c r="AL179" s="5"/>
      <c r="AM179" s="5"/>
      <c r="AN179" s="5"/>
      <c r="AO179" s="5"/>
      <c r="AP179" s="5"/>
      <c r="AQ179" s="5"/>
      <c r="AR179" s="5"/>
    </row>
    <row r="180" ht="15.75" customHeight="1">
      <c r="A180" s="36"/>
      <c r="B180" s="37"/>
      <c r="C180" s="2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33"/>
      <c r="AL180" s="5"/>
      <c r="AM180" s="5"/>
      <c r="AN180" s="5"/>
      <c r="AO180" s="5"/>
      <c r="AP180" s="5"/>
      <c r="AQ180" s="5"/>
      <c r="AR180" s="5"/>
    </row>
    <row r="181" ht="15.75" customHeight="1">
      <c r="A181" s="36"/>
      <c r="B181" s="37"/>
      <c r="C181" s="2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33"/>
      <c r="AL181" s="5"/>
      <c r="AM181" s="5"/>
      <c r="AN181" s="5"/>
      <c r="AO181" s="5"/>
      <c r="AP181" s="5"/>
      <c r="AQ181" s="5"/>
      <c r="AR181" s="5"/>
    </row>
    <row r="182" ht="15.75" customHeight="1">
      <c r="A182" s="36"/>
      <c r="B182" s="37"/>
      <c r="C182" s="2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33"/>
      <c r="AL182" s="5"/>
      <c r="AM182" s="5"/>
      <c r="AN182" s="5"/>
      <c r="AO182" s="5"/>
      <c r="AP182" s="5"/>
      <c r="AQ182" s="5"/>
      <c r="AR182" s="5"/>
    </row>
    <row r="183" ht="15.75" customHeight="1">
      <c r="A183" s="36"/>
      <c r="B183" s="37"/>
      <c r="C183" s="2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33"/>
      <c r="AL183" s="5"/>
      <c r="AM183" s="5"/>
      <c r="AN183" s="5"/>
      <c r="AO183" s="5"/>
      <c r="AP183" s="5"/>
      <c r="AQ183" s="5"/>
      <c r="AR183" s="5"/>
    </row>
    <row r="184" ht="15.75" customHeight="1">
      <c r="A184" s="36"/>
      <c r="B184" s="37"/>
      <c r="C184" s="2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33"/>
      <c r="AL184" s="5"/>
      <c r="AM184" s="5"/>
      <c r="AN184" s="5"/>
      <c r="AO184" s="5"/>
      <c r="AP184" s="5"/>
      <c r="AQ184" s="5"/>
      <c r="AR184" s="5"/>
    </row>
    <row r="185" ht="15.75" customHeight="1">
      <c r="A185" s="36"/>
      <c r="B185" s="37"/>
      <c r="C185" s="2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33"/>
      <c r="AL185" s="5"/>
      <c r="AM185" s="5"/>
      <c r="AN185" s="5"/>
      <c r="AO185" s="5"/>
      <c r="AP185" s="5"/>
      <c r="AQ185" s="5"/>
      <c r="AR185" s="5"/>
    </row>
    <row r="186" ht="15.75" customHeight="1">
      <c r="A186" s="36"/>
      <c r="B186" s="37"/>
      <c r="C186" s="2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33"/>
      <c r="AL186" s="5"/>
      <c r="AM186" s="5"/>
      <c r="AN186" s="5"/>
      <c r="AO186" s="5"/>
      <c r="AP186" s="5"/>
      <c r="AQ186" s="5"/>
      <c r="AR186" s="5"/>
    </row>
    <row r="187" ht="15.75" customHeight="1">
      <c r="A187" s="36"/>
      <c r="B187" s="37"/>
      <c r="C187" s="2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33"/>
      <c r="AL187" s="5"/>
      <c r="AM187" s="5"/>
      <c r="AN187" s="5"/>
      <c r="AO187" s="5"/>
      <c r="AP187" s="5"/>
      <c r="AQ187" s="5"/>
      <c r="AR187" s="5"/>
    </row>
    <row r="188" ht="15.75" customHeight="1">
      <c r="A188" s="36"/>
      <c r="B188" s="37"/>
      <c r="C188" s="2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33"/>
      <c r="AL188" s="5"/>
      <c r="AM188" s="5"/>
      <c r="AN188" s="5"/>
      <c r="AO188" s="5"/>
      <c r="AP188" s="5"/>
      <c r="AQ188" s="5"/>
      <c r="AR188" s="5"/>
    </row>
    <row r="189" ht="15.75" customHeight="1">
      <c r="A189" s="36"/>
      <c r="B189" s="37"/>
      <c r="C189" s="2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33"/>
      <c r="AL189" s="5"/>
      <c r="AM189" s="5"/>
      <c r="AN189" s="5"/>
      <c r="AO189" s="5"/>
      <c r="AP189" s="5"/>
      <c r="AQ189" s="5"/>
      <c r="AR189" s="5"/>
    </row>
    <row r="190" ht="15.75" customHeight="1">
      <c r="A190" s="36"/>
      <c r="B190" s="37"/>
      <c r="C190" s="2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33"/>
      <c r="AL190" s="5"/>
      <c r="AM190" s="5"/>
      <c r="AN190" s="5"/>
      <c r="AO190" s="5"/>
      <c r="AP190" s="5"/>
      <c r="AQ190" s="5"/>
      <c r="AR190" s="5"/>
    </row>
    <row r="191" ht="15.75" customHeight="1">
      <c r="A191" s="36"/>
      <c r="B191" s="37"/>
      <c r="C191" s="2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33"/>
      <c r="AL191" s="5"/>
      <c r="AM191" s="5"/>
      <c r="AN191" s="5"/>
      <c r="AO191" s="5"/>
      <c r="AP191" s="5"/>
      <c r="AQ191" s="5"/>
      <c r="AR191" s="5"/>
    </row>
    <row r="192" ht="15.75" customHeight="1">
      <c r="A192" s="36"/>
      <c r="B192" s="37"/>
      <c r="C192" s="2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33"/>
      <c r="AL192" s="5"/>
      <c r="AM192" s="5"/>
      <c r="AN192" s="5"/>
      <c r="AO192" s="5"/>
      <c r="AP192" s="5"/>
      <c r="AQ192" s="5"/>
      <c r="AR192" s="5"/>
    </row>
    <row r="193" ht="15.75" customHeight="1">
      <c r="A193" s="36"/>
      <c r="B193" s="37"/>
      <c r="C193" s="2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33"/>
      <c r="AL193" s="5"/>
      <c r="AM193" s="5"/>
      <c r="AN193" s="5"/>
      <c r="AO193" s="5"/>
      <c r="AP193" s="5"/>
      <c r="AQ193" s="5"/>
      <c r="AR193" s="5"/>
    </row>
    <row r="194" ht="15.75" customHeight="1">
      <c r="A194" s="36"/>
      <c r="B194" s="37"/>
      <c r="C194" s="2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33"/>
      <c r="AL194" s="5"/>
      <c r="AM194" s="5"/>
      <c r="AN194" s="5"/>
      <c r="AO194" s="5"/>
      <c r="AP194" s="5"/>
      <c r="AQ194" s="5"/>
      <c r="AR194" s="5"/>
    </row>
    <row r="195" ht="15.75" customHeight="1">
      <c r="A195" s="36"/>
      <c r="B195" s="37"/>
      <c r="C195" s="2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33"/>
      <c r="AL195" s="5"/>
      <c r="AM195" s="5"/>
      <c r="AN195" s="5"/>
      <c r="AO195" s="5"/>
      <c r="AP195" s="5"/>
      <c r="AQ195" s="5"/>
      <c r="AR195" s="5"/>
    </row>
    <row r="196" ht="15.75" customHeight="1">
      <c r="A196" s="36"/>
      <c r="B196" s="37"/>
      <c r="C196" s="2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33"/>
      <c r="AL196" s="5"/>
      <c r="AM196" s="5"/>
      <c r="AN196" s="5"/>
      <c r="AO196" s="5"/>
      <c r="AP196" s="5"/>
      <c r="AQ196" s="5"/>
      <c r="AR196" s="5"/>
    </row>
    <row r="197" ht="15.75" customHeight="1">
      <c r="A197" s="36"/>
      <c r="B197" s="37"/>
      <c r="C197" s="2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33"/>
      <c r="AL197" s="5"/>
      <c r="AM197" s="5"/>
      <c r="AN197" s="5"/>
      <c r="AO197" s="5"/>
      <c r="AP197" s="5"/>
      <c r="AQ197" s="5"/>
      <c r="AR197" s="5"/>
    </row>
    <row r="198" ht="15.75" customHeight="1">
      <c r="A198" s="36"/>
      <c r="B198" s="37"/>
      <c r="C198" s="2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33"/>
      <c r="AL198" s="5"/>
      <c r="AM198" s="5"/>
      <c r="AN198" s="5"/>
      <c r="AO198" s="5"/>
      <c r="AP198" s="5"/>
      <c r="AQ198" s="5"/>
      <c r="AR198" s="5"/>
    </row>
    <row r="199" ht="15.75" customHeight="1">
      <c r="A199" s="36"/>
      <c r="B199" s="37"/>
      <c r="C199" s="2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33"/>
      <c r="AL199" s="5"/>
      <c r="AM199" s="5"/>
      <c r="AN199" s="5"/>
      <c r="AO199" s="5"/>
      <c r="AP199" s="5"/>
      <c r="AQ199" s="5"/>
      <c r="AR199" s="5"/>
    </row>
    <row r="200" ht="15.75" customHeight="1">
      <c r="A200" s="36"/>
      <c r="B200" s="37"/>
      <c r="C200" s="2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33"/>
      <c r="AL200" s="5"/>
      <c r="AM200" s="5"/>
      <c r="AN200" s="5"/>
      <c r="AO200" s="5"/>
      <c r="AP200" s="5"/>
      <c r="AQ200" s="5"/>
      <c r="AR200" s="5"/>
    </row>
    <row r="201" ht="15.75" customHeight="1">
      <c r="A201" s="36"/>
      <c r="B201" s="37"/>
      <c r="C201" s="2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33"/>
      <c r="AL201" s="5"/>
      <c r="AM201" s="5"/>
      <c r="AN201" s="5"/>
      <c r="AO201" s="5"/>
      <c r="AP201" s="5"/>
      <c r="AQ201" s="5"/>
      <c r="AR201" s="5"/>
    </row>
    <row r="202" ht="15.75" customHeight="1">
      <c r="A202" s="36"/>
      <c r="B202" s="37"/>
      <c r="C202" s="2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33"/>
      <c r="AL202" s="5"/>
      <c r="AM202" s="5"/>
      <c r="AN202" s="5"/>
      <c r="AO202" s="5"/>
      <c r="AP202" s="5"/>
      <c r="AQ202" s="5"/>
      <c r="AR202" s="5"/>
    </row>
    <row r="203" ht="15.75" customHeight="1">
      <c r="A203" s="36"/>
      <c r="B203" s="37"/>
      <c r="C203" s="2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33"/>
      <c r="AL203" s="5"/>
      <c r="AM203" s="5"/>
      <c r="AN203" s="5"/>
      <c r="AO203" s="5"/>
      <c r="AP203" s="5"/>
      <c r="AQ203" s="5"/>
      <c r="AR203" s="5"/>
    </row>
    <row r="204" ht="15.75" customHeight="1">
      <c r="A204" s="36"/>
      <c r="B204" s="37"/>
      <c r="C204" s="2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33"/>
      <c r="AL204" s="5"/>
      <c r="AM204" s="5"/>
      <c r="AN204" s="5"/>
      <c r="AO204" s="5"/>
      <c r="AP204" s="5"/>
      <c r="AQ204" s="5"/>
      <c r="AR204" s="5"/>
    </row>
    <row r="205" ht="15.75" customHeight="1">
      <c r="A205" s="36"/>
      <c r="B205" s="37"/>
      <c r="C205" s="2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33"/>
      <c r="AL205" s="5"/>
      <c r="AM205" s="5"/>
      <c r="AN205" s="5"/>
      <c r="AO205" s="5"/>
      <c r="AP205" s="5"/>
      <c r="AQ205" s="5"/>
      <c r="AR205" s="5"/>
    </row>
    <row r="206" ht="15.75" customHeight="1">
      <c r="A206" s="36"/>
      <c r="B206" s="37"/>
      <c r="C206" s="2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33"/>
      <c r="AL206" s="5"/>
      <c r="AM206" s="5"/>
      <c r="AN206" s="5"/>
      <c r="AO206" s="5"/>
      <c r="AP206" s="5"/>
      <c r="AQ206" s="5"/>
      <c r="AR206" s="5"/>
    </row>
    <row r="207" ht="15.75" customHeight="1">
      <c r="A207" s="36"/>
      <c r="B207" s="37"/>
      <c r="C207" s="2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33"/>
      <c r="AL207" s="5"/>
      <c r="AM207" s="5"/>
      <c r="AN207" s="5"/>
      <c r="AO207" s="5"/>
      <c r="AP207" s="5"/>
      <c r="AQ207" s="5"/>
      <c r="AR207" s="5"/>
    </row>
    <row r="208" ht="15.75" customHeight="1">
      <c r="A208" s="36"/>
      <c r="B208" s="37"/>
      <c r="C208" s="2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33"/>
      <c r="AL208" s="5"/>
      <c r="AM208" s="5"/>
      <c r="AN208" s="5"/>
      <c r="AO208" s="5"/>
      <c r="AP208" s="5"/>
      <c r="AQ208" s="5"/>
      <c r="AR208" s="5"/>
    </row>
    <row r="209" ht="15.75" customHeight="1">
      <c r="A209" s="36"/>
      <c r="B209" s="37"/>
      <c r="C209" s="2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33"/>
      <c r="AL209" s="5"/>
      <c r="AM209" s="5"/>
      <c r="AN209" s="5"/>
      <c r="AO209" s="5"/>
      <c r="AP209" s="5"/>
      <c r="AQ209" s="5"/>
      <c r="AR209" s="5"/>
    </row>
    <row r="210" ht="15.75" customHeight="1">
      <c r="A210" s="36"/>
      <c r="B210" s="37"/>
      <c r="C210" s="2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33"/>
      <c r="AL210" s="5"/>
      <c r="AM210" s="5"/>
      <c r="AN210" s="5"/>
      <c r="AO210" s="5"/>
      <c r="AP210" s="5"/>
      <c r="AQ210" s="5"/>
      <c r="AR210" s="5"/>
    </row>
    <row r="211" ht="15.75" customHeight="1">
      <c r="A211" s="36"/>
      <c r="B211" s="37"/>
      <c r="C211" s="2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33"/>
      <c r="AL211" s="5"/>
      <c r="AM211" s="5"/>
      <c r="AN211" s="5"/>
      <c r="AO211" s="5"/>
      <c r="AP211" s="5"/>
      <c r="AQ211" s="5"/>
      <c r="AR211" s="5"/>
    </row>
    <row r="212" ht="15.75" customHeight="1">
      <c r="A212" s="36"/>
      <c r="B212" s="37"/>
      <c r="C212" s="2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33"/>
      <c r="AL212" s="5"/>
      <c r="AM212" s="5"/>
      <c r="AN212" s="5"/>
      <c r="AO212" s="5"/>
      <c r="AP212" s="5"/>
      <c r="AQ212" s="5"/>
      <c r="AR212" s="5"/>
    </row>
    <row r="213" ht="15.75" customHeight="1">
      <c r="A213" s="36"/>
      <c r="B213" s="37"/>
      <c r="C213" s="2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33"/>
      <c r="AL213" s="5"/>
      <c r="AM213" s="5"/>
      <c r="AN213" s="5"/>
      <c r="AO213" s="5"/>
      <c r="AP213" s="5"/>
      <c r="AQ213" s="5"/>
      <c r="AR213" s="5"/>
    </row>
    <row r="214" ht="15.75" customHeight="1">
      <c r="A214" s="36"/>
      <c r="B214" s="37"/>
      <c r="C214" s="2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33"/>
      <c r="AL214" s="5"/>
      <c r="AM214" s="5"/>
      <c r="AN214" s="5"/>
      <c r="AO214" s="5"/>
      <c r="AP214" s="5"/>
      <c r="AQ214" s="5"/>
      <c r="AR214" s="5"/>
    </row>
    <row r="215" ht="15.75" customHeight="1">
      <c r="A215" s="36"/>
      <c r="B215" s="37"/>
      <c r="C215" s="2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33"/>
      <c r="AL215" s="5"/>
      <c r="AM215" s="5"/>
      <c r="AN215" s="5"/>
      <c r="AO215" s="5"/>
      <c r="AP215" s="5"/>
      <c r="AQ215" s="5"/>
      <c r="AR215" s="5"/>
    </row>
    <row r="216" ht="15.75" customHeight="1">
      <c r="A216" s="36"/>
      <c r="B216" s="37"/>
      <c r="C216" s="2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33"/>
      <c r="AL216" s="5"/>
      <c r="AM216" s="5"/>
      <c r="AN216" s="5"/>
      <c r="AO216" s="5"/>
      <c r="AP216" s="5"/>
      <c r="AQ216" s="5"/>
      <c r="AR216" s="5"/>
    </row>
    <row r="217" ht="15.75" customHeight="1">
      <c r="A217" s="36"/>
      <c r="B217" s="37"/>
      <c r="C217" s="2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33"/>
      <c r="AL217" s="5"/>
      <c r="AM217" s="5"/>
      <c r="AN217" s="5"/>
      <c r="AO217" s="5"/>
      <c r="AP217" s="5"/>
      <c r="AQ217" s="5"/>
      <c r="AR217" s="5"/>
    </row>
    <row r="218" ht="15.75" customHeight="1">
      <c r="A218" s="36"/>
      <c r="B218" s="37"/>
      <c r="C218" s="2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33"/>
      <c r="AL218" s="5"/>
      <c r="AM218" s="5"/>
      <c r="AN218" s="5"/>
      <c r="AO218" s="5"/>
      <c r="AP218" s="5"/>
      <c r="AQ218" s="5"/>
      <c r="AR218" s="5"/>
    </row>
    <row r="219" ht="15.75" customHeight="1">
      <c r="A219" s="36"/>
      <c r="B219" s="37"/>
      <c r="C219" s="2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33"/>
      <c r="AL219" s="5"/>
      <c r="AM219" s="5"/>
      <c r="AN219" s="5"/>
      <c r="AO219" s="5"/>
      <c r="AP219" s="5"/>
      <c r="AQ219" s="5"/>
      <c r="AR219" s="5"/>
    </row>
    <row r="220" ht="15.75" customHeight="1">
      <c r="A220" s="36"/>
      <c r="B220" s="37"/>
      <c r="C220" s="2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33"/>
      <c r="AL220" s="5"/>
      <c r="AM220" s="5"/>
      <c r="AN220" s="5"/>
      <c r="AO220" s="5"/>
      <c r="AP220" s="5"/>
      <c r="AQ220" s="5"/>
      <c r="AR220" s="5"/>
    </row>
    <row r="221" ht="15.75" customHeight="1">
      <c r="A221" s="36"/>
      <c r="B221" s="37"/>
      <c r="C221" s="2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33"/>
      <c r="AL221" s="5"/>
      <c r="AM221" s="5"/>
      <c r="AN221" s="5"/>
      <c r="AO221" s="5"/>
      <c r="AP221" s="5"/>
      <c r="AQ221" s="5"/>
      <c r="AR221" s="5"/>
    </row>
    <row r="222" ht="15.75" customHeight="1">
      <c r="A222" s="36"/>
      <c r="B222" s="37"/>
      <c r="C222" s="2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33"/>
      <c r="AL222" s="5"/>
      <c r="AM222" s="5"/>
      <c r="AN222" s="5"/>
      <c r="AO222" s="5"/>
      <c r="AP222" s="5"/>
      <c r="AQ222" s="5"/>
      <c r="AR222" s="5"/>
    </row>
    <row r="223" ht="15.75" customHeight="1">
      <c r="A223" s="36"/>
      <c r="B223" s="37"/>
      <c r="C223" s="2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33"/>
      <c r="AL223" s="5"/>
      <c r="AM223" s="5"/>
      <c r="AN223" s="5"/>
      <c r="AO223" s="5"/>
      <c r="AP223" s="5"/>
      <c r="AQ223" s="5"/>
      <c r="AR223" s="5"/>
    </row>
    <row r="224" ht="15.75" customHeight="1">
      <c r="A224" s="36"/>
      <c r="B224" s="37"/>
      <c r="C224" s="2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33"/>
      <c r="AL224" s="5"/>
      <c r="AM224" s="5"/>
      <c r="AN224" s="5"/>
      <c r="AO224" s="5"/>
      <c r="AP224" s="5"/>
      <c r="AQ224" s="5"/>
      <c r="AR224" s="5"/>
    </row>
    <row r="225" ht="15.75" customHeight="1">
      <c r="A225" s="36"/>
      <c r="B225" s="37"/>
      <c r="C225" s="2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33"/>
      <c r="AL225" s="5"/>
      <c r="AM225" s="5"/>
      <c r="AN225" s="5"/>
      <c r="AO225" s="5"/>
      <c r="AP225" s="5"/>
      <c r="AQ225" s="5"/>
      <c r="AR225" s="5"/>
    </row>
    <row r="226" ht="15.75" customHeight="1">
      <c r="A226" s="36"/>
      <c r="B226" s="37"/>
      <c r="C226" s="2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33"/>
      <c r="AL226" s="5"/>
      <c r="AM226" s="5"/>
      <c r="AN226" s="5"/>
      <c r="AO226" s="5"/>
      <c r="AP226" s="5"/>
      <c r="AQ226" s="5"/>
      <c r="AR226" s="5"/>
    </row>
    <row r="227" ht="15.75" customHeight="1">
      <c r="A227" s="36"/>
      <c r="B227" s="37"/>
      <c r="C227" s="2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33"/>
      <c r="AL227" s="5"/>
      <c r="AM227" s="5"/>
      <c r="AN227" s="5"/>
      <c r="AO227" s="5"/>
      <c r="AP227" s="5"/>
      <c r="AQ227" s="5"/>
      <c r="AR227" s="5"/>
    </row>
    <row r="228" ht="15.75" customHeight="1">
      <c r="A228" s="36"/>
      <c r="B228" s="37"/>
      <c r="C228" s="2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33"/>
      <c r="AL228" s="5"/>
      <c r="AM228" s="5"/>
      <c r="AN228" s="5"/>
      <c r="AO228" s="5"/>
      <c r="AP228" s="5"/>
      <c r="AQ228" s="5"/>
      <c r="AR228" s="5"/>
    </row>
    <row r="229" ht="15.75" customHeight="1">
      <c r="A229" s="36"/>
      <c r="B229" s="37"/>
      <c r="C229" s="2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33"/>
      <c r="AL229" s="5"/>
      <c r="AM229" s="5"/>
      <c r="AN229" s="5"/>
      <c r="AO229" s="5"/>
      <c r="AP229" s="5"/>
      <c r="AQ229" s="5"/>
      <c r="AR229" s="5"/>
    </row>
    <row r="230" ht="15.75" customHeight="1">
      <c r="A230" s="36"/>
      <c r="B230" s="37"/>
      <c r="C230" s="2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33"/>
      <c r="AL230" s="5"/>
      <c r="AM230" s="5"/>
      <c r="AN230" s="5"/>
      <c r="AO230" s="5"/>
      <c r="AP230" s="5"/>
      <c r="AQ230" s="5"/>
      <c r="AR230" s="5"/>
    </row>
    <row r="231" ht="15.75" customHeight="1">
      <c r="A231" s="36"/>
      <c r="B231" s="37"/>
      <c r="C231" s="2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33"/>
      <c r="AL231" s="5"/>
      <c r="AM231" s="5"/>
      <c r="AN231" s="5"/>
      <c r="AO231" s="5"/>
      <c r="AP231" s="5"/>
      <c r="AQ231" s="5"/>
      <c r="AR231" s="5"/>
    </row>
    <row r="232" ht="15.75" customHeight="1">
      <c r="A232" s="36"/>
      <c r="B232" s="37"/>
      <c r="C232" s="2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33"/>
      <c r="AL232" s="5"/>
      <c r="AM232" s="5"/>
      <c r="AN232" s="5"/>
      <c r="AO232" s="5"/>
      <c r="AP232" s="5"/>
      <c r="AQ232" s="5"/>
      <c r="AR232" s="5"/>
    </row>
    <row r="233" ht="15.75" customHeight="1">
      <c r="A233" s="36"/>
      <c r="B233" s="37"/>
      <c r="C233" s="2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33"/>
      <c r="AL233" s="5"/>
      <c r="AM233" s="5"/>
      <c r="AN233" s="5"/>
      <c r="AO233" s="5"/>
      <c r="AP233" s="5"/>
      <c r="AQ233" s="5"/>
      <c r="AR233" s="5"/>
    </row>
    <row r="234" ht="15.75" customHeight="1">
      <c r="A234" s="36"/>
      <c r="B234" s="37"/>
      <c r="C234" s="2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33"/>
      <c r="AL234" s="5"/>
      <c r="AM234" s="5"/>
      <c r="AN234" s="5"/>
      <c r="AO234" s="5"/>
      <c r="AP234" s="5"/>
      <c r="AQ234" s="5"/>
      <c r="AR234" s="5"/>
    </row>
    <row r="235" ht="15.75" customHeight="1">
      <c r="A235" s="36"/>
      <c r="B235" s="37"/>
      <c r="C235" s="2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33"/>
      <c r="AL235" s="5"/>
      <c r="AM235" s="5"/>
      <c r="AN235" s="5"/>
      <c r="AO235" s="5"/>
      <c r="AP235" s="5"/>
      <c r="AQ235" s="5"/>
      <c r="AR235" s="5"/>
    </row>
    <row r="236" ht="15.75" customHeight="1">
      <c r="A236" s="36"/>
      <c r="B236" s="37"/>
      <c r="C236" s="2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33"/>
      <c r="AL236" s="5"/>
      <c r="AM236" s="5"/>
      <c r="AN236" s="5"/>
      <c r="AO236" s="5"/>
      <c r="AP236" s="5"/>
      <c r="AQ236" s="5"/>
      <c r="AR236" s="5"/>
    </row>
    <row r="237" ht="15.75" customHeight="1">
      <c r="A237" s="36"/>
      <c r="B237" s="37"/>
      <c r="C237" s="2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33"/>
      <c r="AL237" s="5"/>
      <c r="AM237" s="5"/>
      <c r="AN237" s="5"/>
      <c r="AO237" s="5"/>
      <c r="AP237" s="5"/>
      <c r="AQ237" s="5"/>
      <c r="AR237" s="5"/>
    </row>
    <row r="238" ht="15.75" customHeight="1">
      <c r="A238" s="36"/>
      <c r="B238" s="37"/>
      <c r="C238" s="2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33"/>
      <c r="AL238" s="5"/>
      <c r="AM238" s="5"/>
      <c r="AN238" s="5"/>
      <c r="AO238" s="5"/>
      <c r="AP238" s="5"/>
      <c r="AQ238" s="5"/>
      <c r="AR238" s="5"/>
    </row>
    <row r="239" ht="15.75" customHeight="1">
      <c r="A239" s="36"/>
      <c r="B239" s="37"/>
      <c r="C239" s="2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33"/>
      <c r="AL239" s="5"/>
      <c r="AM239" s="5"/>
      <c r="AN239" s="5"/>
      <c r="AO239" s="5"/>
      <c r="AP239" s="5"/>
      <c r="AQ239" s="5"/>
      <c r="AR239" s="5"/>
    </row>
    <row r="240" ht="15.75" customHeight="1">
      <c r="A240" s="36"/>
      <c r="B240" s="37"/>
      <c r="C240" s="2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33"/>
      <c r="AL240" s="5"/>
      <c r="AM240" s="5"/>
      <c r="AN240" s="5"/>
      <c r="AO240" s="5"/>
      <c r="AP240" s="5"/>
      <c r="AQ240" s="5"/>
      <c r="AR240" s="5"/>
    </row>
    <row r="241" ht="15.75" customHeight="1">
      <c r="A241" s="36"/>
      <c r="B241" s="37"/>
      <c r="C241" s="2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33"/>
      <c r="AL241" s="5"/>
      <c r="AM241" s="5"/>
      <c r="AN241" s="5"/>
      <c r="AO241" s="5"/>
      <c r="AP241" s="5"/>
      <c r="AQ241" s="5"/>
      <c r="AR241" s="5"/>
    </row>
    <row r="242" ht="15.75" customHeight="1">
      <c r="A242" s="36"/>
      <c r="B242" s="37"/>
      <c r="C242" s="2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33"/>
      <c r="AL242" s="5"/>
      <c r="AM242" s="5"/>
      <c r="AN242" s="5"/>
      <c r="AO242" s="5"/>
      <c r="AP242" s="5"/>
      <c r="AQ242" s="5"/>
      <c r="AR242" s="5"/>
    </row>
    <row r="243" ht="15.75" customHeight="1">
      <c r="A243" s="36"/>
      <c r="B243" s="37"/>
      <c r="C243" s="2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33"/>
      <c r="AL243" s="5"/>
      <c r="AM243" s="5"/>
      <c r="AN243" s="5"/>
      <c r="AO243" s="5"/>
      <c r="AP243" s="5"/>
      <c r="AQ243" s="5"/>
      <c r="AR243" s="5"/>
    </row>
    <row r="244" ht="15.75" customHeight="1">
      <c r="A244" s="36"/>
      <c r="B244" s="37"/>
      <c r="C244" s="2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33"/>
      <c r="AL244" s="5"/>
      <c r="AM244" s="5"/>
      <c r="AN244" s="5"/>
      <c r="AO244" s="5"/>
      <c r="AP244" s="5"/>
      <c r="AQ244" s="5"/>
      <c r="AR244" s="5"/>
    </row>
    <row r="245" ht="15.75" customHeight="1">
      <c r="A245" s="36"/>
      <c r="B245" s="37"/>
      <c r="C245" s="2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33"/>
      <c r="AL245" s="5"/>
      <c r="AM245" s="5"/>
      <c r="AN245" s="5"/>
      <c r="AO245" s="5"/>
      <c r="AP245" s="5"/>
      <c r="AQ245" s="5"/>
      <c r="AR245" s="5"/>
    </row>
    <row r="246" ht="15.75" customHeight="1">
      <c r="A246" s="36"/>
      <c r="B246" s="37"/>
      <c r="C246" s="2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33"/>
      <c r="AL246" s="5"/>
      <c r="AM246" s="5"/>
      <c r="AN246" s="5"/>
      <c r="AO246" s="5"/>
      <c r="AP246" s="5"/>
      <c r="AQ246" s="5"/>
      <c r="AR246" s="5"/>
    </row>
    <row r="247" ht="15.75" customHeight="1">
      <c r="A247" s="36"/>
      <c r="B247" s="37"/>
      <c r="C247" s="2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33"/>
      <c r="AL247" s="5"/>
      <c r="AM247" s="5"/>
      <c r="AN247" s="5"/>
      <c r="AO247" s="5"/>
      <c r="AP247" s="5"/>
      <c r="AQ247" s="5"/>
      <c r="AR247" s="5"/>
    </row>
    <row r="248" ht="15.75" customHeight="1">
      <c r="A248" s="36"/>
      <c r="B248" s="37"/>
      <c r="C248" s="2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33"/>
      <c r="AL248" s="5"/>
      <c r="AM248" s="5"/>
      <c r="AN248" s="5"/>
      <c r="AO248" s="5"/>
      <c r="AP248" s="5"/>
      <c r="AQ248" s="5"/>
      <c r="AR248" s="5"/>
    </row>
    <row r="249" ht="15.75" customHeight="1">
      <c r="A249" s="36"/>
      <c r="B249" s="37"/>
      <c r="C249" s="2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33"/>
      <c r="AL249" s="5"/>
      <c r="AM249" s="5"/>
      <c r="AN249" s="5"/>
      <c r="AO249" s="5"/>
      <c r="AP249" s="5"/>
      <c r="AQ249" s="5"/>
      <c r="AR249" s="5"/>
    </row>
    <row r="250" ht="15.75" customHeight="1">
      <c r="A250" s="36"/>
      <c r="B250" s="37"/>
      <c r="C250" s="2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33"/>
      <c r="AL250" s="5"/>
      <c r="AM250" s="5"/>
      <c r="AN250" s="5"/>
      <c r="AO250" s="5"/>
      <c r="AP250" s="5"/>
      <c r="AQ250" s="5"/>
      <c r="AR250" s="5"/>
    </row>
    <row r="251" ht="15.75" customHeight="1">
      <c r="A251" s="36"/>
      <c r="B251" s="37"/>
      <c r="C251" s="2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33"/>
      <c r="AL251" s="5"/>
      <c r="AM251" s="5"/>
      <c r="AN251" s="5"/>
      <c r="AO251" s="5"/>
      <c r="AP251" s="5"/>
      <c r="AQ251" s="5"/>
      <c r="AR251" s="5"/>
    </row>
    <row r="252" ht="15.75" customHeight="1">
      <c r="A252" s="36"/>
      <c r="B252" s="37"/>
      <c r="C252" s="2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33"/>
      <c r="AL252" s="5"/>
      <c r="AM252" s="5"/>
      <c r="AN252" s="5"/>
      <c r="AO252" s="5"/>
      <c r="AP252" s="5"/>
      <c r="AQ252" s="5"/>
      <c r="AR252" s="5"/>
    </row>
    <row r="253" ht="15.75" customHeight="1">
      <c r="A253" s="36"/>
      <c r="B253" s="37"/>
      <c r="C253" s="2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33"/>
      <c r="AL253" s="5"/>
      <c r="AM253" s="5"/>
      <c r="AN253" s="5"/>
      <c r="AO253" s="5"/>
      <c r="AP253" s="5"/>
      <c r="AQ253" s="5"/>
      <c r="AR253" s="5"/>
    </row>
    <row r="254" ht="15.75" customHeight="1">
      <c r="A254" s="36"/>
      <c r="B254" s="37"/>
      <c r="C254" s="2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33"/>
      <c r="AL254" s="5"/>
      <c r="AM254" s="5"/>
      <c r="AN254" s="5"/>
      <c r="AO254" s="5"/>
      <c r="AP254" s="5"/>
      <c r="AQ254" s="5"/>
      <c r="AR254" s="5"/>
    </row>
    <row r="255" ht="15.75" customHeight="1">
      <c r="A255" s="36"/>
      <c r="B255" s="37"/>
      <c r="C255" s="2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33"/>
      <c r="AL255" s="5"/>
      <c r="AM255" s="5"/>
      <c r="AN255" s="5"/>
      <c r="AO255" s="5"/>
      <c r="AP255" s="5"/>
      <c r="AQ255" s="5"/>
      <c r="AR255" s="5"/>
    </row>
    <row r="256" ht="15.75" customHeight="1">
      <c r="A256" s="36"/>
      <c r="B256" s="37"/>
      <c r="C256" s="2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33"/>
      <c r="AL256" s="5"/>
      <c r="AM256" s="5"/>
      <c r="AN256" s="5"/>
      <c r="AO256" s="5"/>
      <c r="AP256" s="5"/>
      <c r="AQ256" s="5"/>
      <c r="AR256" s="5"/>
    </row>
    <row r="257" ht="15.75" customHeight="1">
      <c r="A257" s="36"/>
      <c r="B257" s="37"/>
      <c r="C257" s="2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33"/>
      <c r="AL257" s="5"/>
      <c r="AM257" s="5"/>
      <c r="AN257" s="5"/>
      <c r="AO257" s="5"/>
      <c r="AP257" s="5"/>
      <c r="AQ257" s="5"/>
      <c r="AR257" s="5"/>
    </row>
    <row r="258" ht="15.75" customHeight="1">
      <c r="A258" s="36"/>
      <c r="B258" s="37"/>
      <c r="C258" s="2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33"/>
      <c r="AL258" s="5"/>
      <c r="AM258" s="5"/>
      <c r="AN258" s="5"/>
      <c r="AO258" s="5"/>
      <c r="AP258" s="5"/>
      <c r="AQ258" s="5"/>
      <c r="AR258" s="5"/>
    </row>
    <row r="259" ht="15.75" customHeight="1">
      <c r="A259" s="36"/>
      <c r="B259" s="37"/>
      <c r="C259" s="2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33"/>
      <c r="AL259" s="5"/>
      <c r="AM259" s="5"/>
      <c r="AN259" s="5"/>
      <c r="AO259" s="5"/>
      <c r="AP259" s="5"/>
      <c r="AQ259" s="5"/>
      <c r="AR259" s="5"/>
    </row>
    <row r="260" ht="15.75" customHeight="1">
      <c r="A260" s="36"/>
      <c r="B260" s="37"/>
      <c r="C260" s="2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33"/>
      <c r="AL260" s="5"/>
      <c r="AM260" s="5"/>
      <c r="AN260" s="5"/>
      <c r="AO260" s="5"/>
      <c r="AP260" s="5"/>
      <c r="AQ260" s="5"/>
      <c r="AR260" s="5"/>
    </row>
    <row r="261" ht="15.75" customHeight="1">
      <c r="A261" s="36"/>
      <c r="B261" s="37"/>
      <c r="C261" s="2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33"/>
      <c r="AL261" s="5"/>
      <c r="AM261" s="5"/>
      <c r="AN261" s="5"/>
      <c r="AO261" s="5"/>
      <c r="AP261" s="5"/>
      <c r="AQ261" s="5"/>
      <c r="AR261" s="5"/>
    </row>
    <row r="262" ht="15.75" customHeight="1">
      <c r="A262" s="36"/>
      <c r="B262" s="37"/>
      <c r="C262" s="2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33"/>
      <c r="AL262" s="5"/>
      <c r="AM262" s="5"/>
      <c r="AN262" s="5"/>
      <c r="AO262" s="5"/>
      <c r="AP262" s="5"/>
      <c r="AQ262" s="5"/>
      <c r="AR262" s="5"/>
    </row>
    <row r="263" ht="15.75" customHeight="1">
      <c r="A263" s="36"/>
      <c r="B263" s="37"/>
      <c r="C263" s="2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33"/>
      <c r="AL263" s="5"/>
      <c r="AM263" s="5"/>
      <c r="AN263" s="5"/>
      <c r="AO263" s="5"/>
      <c r="AP263" s="5"/>
      <c r="AQ263" s="5"/>
      <c r="AR263" s="5"/>
    </row>
    <row r="264" ht="15.75" customHeight="1">
      <c r="A264" s="36"/>
      <c r="B264" s="37"/>
      <c r="C264" s="2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33"/>
      <c r="AL264" s="5"/>
      <c r="AM264" s="5"/>
      <c r="AN264" s="5"/>
      <c r="AO264" s="5"/>
      <c r="AP264" s="5"/>
      <c r="AQ264" s="5"/>
      <c r="AR264" s="5"/>
    </row>
    <row r="265" ht="15.75" customHeight="1">
      <c r="A265" s="36"/>
      <c r="B265" s="37"/>
      <c r="C265" s="2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33"/>
      <c r="AL265" s="5"/>
      <c r="AM265" s="5"/>
      <c r="AN265" s="5"/>
      <c r="AO265" s="5"/>
      <c r="AP265" s="5"/>
      <c r="AQ265" s="5"/>
      <c r="AR265" s="5"/>
    </row>
    <row r="266" ht="15.75" customHeight="1">
      <c r="A266" s="36"/>
      <c r="B266" s="37"/>
      <c r="C266" s="2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33"/>
      <c r="AL266" s="5"/>
      <c r="AM266" s="5"/>
      <c r="AN266" s="5"/>
      <c r="AO266" s="5"/>
      <c r="AP266" s="5"/>
      <c r="AQ266" s="5"/>
      <c r="AR266" s="5"/>
    </row>
    <row r="267" ht="15.75" customHeight="1">
      <c r="A267" s="36"/>
      <c r="B267" s="37"/>
      <c r="C267" s="2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33"/>
      <c r="AL267" s="5"/>
      <c r="AM267" s="5"/>
      <c r="AN267" s="5"/>
      <c r="AO267" s="5"/>
      <c r="AP267" s="5"/>
      <c r="AQ267" s="5"/>
      <c r="AR267" s="5"/>
    </row>
    <row r="268" ht="15.75" customHeight="1">
      <c r="A268" s="36"/>
      <c r="B268" s="37"/>
      <c r="C268" s="2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33"/>
      <c r="AL268" s="5"/>
      <c r="AM268" s="5"/>
      <c r="AN268" s="5"/>
      <c r="AO268" s="5"/>
      <c r="AP268" s="5"/>
      <c r="AQ268" s="5"/>
      <c r="AR268" s="5"/>
    </row>
    <row r="269" ht="15.75" customHeight="1">
      <c r="A269" s="36"/>
      <c r="B269" s="37"/>
      <c r="C269" s="2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33"/>
      <c r="AL269" s="5"/>
      <c r="AM269" s="5"/>
      <c r="AN269" s="5"/>
      <c r="AO269" s="5"/>
      <c r="AP269" s="5"/>
      <c r="AQ269" s="5"/>
      <c r="AR269" s="5"/>
    </row>
    <row r="270" ht="15.75" customHeight="1">
      <c r="A270" s="36"/>
      <c r="B270" s="37"/>
      <c r="C270" s="2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33"/>
      <c r="AL270" s="5"/>
      <c r="AM270" s="5"/>
      <c r="AN270" s="5"/>
      <c r="AO270" s="5"/>
      <c r="AP270" s="5"/>
      <c r="AQ270" s="5"/>
      <c r="AR270" s="5"/>
    </row>
    <row r="271" ht="15.75" customHeight="1">
      <c r="A271" s="36"/>
      <c r="B271" s="37"/>
      <c r="C271" s="2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33"/>
      <c r="AL271" s="5"/>
      <c r="AM271" s="5"/>
      <c r="AN271" s="5"/>
      <c r="AO271" s="5"/>
      <c r="AP271" s="5"/>
      <c r="AQ271" s="5"/>
      <c r="AR271" s="5"/>
    </row>
    <row r="272" ht="15.75" customHeight="1">
      <c r="A272" s="36"/>
      <c r="B272" s="37"/>
      <c r="C272" s="2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33"/>
      <c r="AL272" s="5"/>
      <c r="AM272" s="5"/>
      <c r="AN272" s="5"/>
      <c r="AO272" s="5"/>
      <c r="AP272" s="5"/>
      <c r="AQ272" s="5"/>
      <c r="AR272" s="5"/>
    </row>
    <row r="273" ht="15.75" customHeight="1">
      <c r="A273" s="36"/>
      <c r="B273" s="37"/>
      <c r="C273" s="2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33"/>
      <c r="AL273" s="5"/>
      <c r="AM273" s="5"/>
      <c r="AN273" s="5"/>
      <c r="AO273" s="5"/>
      <c r="AP273" s="5"/>
      <c r="AQ273" s="5"/>
      <c r="AR273" s="5"/>
    </row>
    <row r="274" ht="15.75" customHeight="1">
      <c r="A274" s="36"/>
      <c r="B274" s="37"/>
      <c r="C274" s="2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33"/>
      <c r="AL274" s="5"/>
      <c r="AM274" s="5"/>
      <c r="AN274" s="5"/>
      <c r="AO274" s="5"/>
      <c r="AP274" s="5"/>
      <c r="AQ274" s="5"/>
      <c r="AR274" s="5"/>
    </row>
    <row r="275" ht="15.75" customHeight="1">
      <c r="A275" s="36"/>
      <c r="B275" s="37"/>
      <c r="C275" s="2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33"/>
      <c r="AL275" s="5"/>
      <c r="AM275" s="5"/>
      <c r="AN275" s="5"/>
      <c r="AO275" s="5"/>
      <c r="AP275" s="5"/>
      <c r="AQ275" s="5"/>
      <c r="AR275" s="5"/>
    </row>
    <row r="276" ht="15.75" customHeight="1">
      <c r="A276" s="36"/>
      <c r="B276" s="37"/>
      <c r="C276" s="2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33"/>
      <c r="AL276" s="5"/>
      <c r="AM276" s="5"/>
      <c r="AN276" s="5"/>
      <c r="AO276" s="5"/>
      <c r="AP276" s="5"/>
      <c r="AQ276" s="5"/>
      <c r="AR276" s="5"/>
    </row>
    <row r="277" ht="15.75" customHeight="1">
      <c r="A277" s="36"/>
      <c r="B277" s="37"/>
      <c r="C277" s="2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33"/>
      <c r="AL277" s="5"/>
      <c r="AM277" s="5"/>
      <c r="AN277" s="5"/>
      <c r="AO277" s="5"/>
      <c r="AP277" s="5"/>
      <c r="AQ277" s="5"/>
      <c r="AR277" s="5"/>
    </row>
    <row r="278" ht="15.75" customHeight="1">
      <c r="A278" s="36"/>
      <c r="B278" s="37"/>
      <c r="C278" s="2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33"/>
      <c r="AL278" s="5"/>
      <c r="AM278" s="5"/>
      <c r="AN278" s="5"/>
      <c r="AO278" s="5"/>
      <c r="AP278" s="5"/>
      <c r="AQ278" s="5"/>
      <c r="AR278" s="5"/>
    </row>
    <row r="279" ht="15.75" customHeight="1">
      <c r="A279" s="36"/>
      <c r="B279" s="37"/>
      <c r="C279" s="2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33"/>
      <c r="AL279" s="5"/>
      <c r="AM279" s="5"/>
      <c r="AN279" s="5"/>
      <c r="AO279" s="5"/>
      <c r="AP279" s="5"/>
      <c r="AQ279" s="5"/>
      <c r="AR279" s="5"/>
    </row>
    <row r="280" ht="15.75" customHeight="1">
      <c r="A280" s="36"/>
      <c r="B280" s="37"/>
      <c r="C280" s="2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33"/>
      <c r="AL280" s="5"/>
      <c r="AM280" s="5"/>
      <c r="AN280" s="5"/>
      <c r="AO280" s="5"/>
      <c r="AP280" s="5"/>
      <c r="AQ280" s="5"/>
      <c r="AR280" s="5"/>
    </row>
    <row r="281" ht="15.75" customHeight="1">
      <c r="A281" s="36"/>
      <c r="B281" s="37"/>
      <c r="C281" s="2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33"/>
      <c r="AL281" s="5"/>
      <c r="AM281" s="5"/>
      <c r="AN281" s="5"/>
      <c r="AO281" s="5"/>
      <c r="AP281" s="5"/>
      <c r="AQ281" s="5"/>
      <c r="AR281" s="5"/>
    </row>
    <row r="282" ht="15.75" customHeight="1">
      <c r="A282" s="36"/>
      <c r="B282" s="37"/>
      <c r="C282" s="2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33"/>
      <c r="AL282" s="5"/>
      <c r="AM282" s="5"/>
      <c r="AN282" s="5"/>
      <c r="AO282" s="5"/>
      <c r="AP282" s="5"/>
      <c r="AQ282" s="5"/>
      <c r="AR282" s="5"/>
    </row>
    <row r="283" ht="15.75" customHeight="1">
      <c r="A283" s="36"/>
      <c r="B283" s="37"/>
      <c r="C283" s="2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33"/>
      <c r="AL283" s="5"/>
      <c r="AM283" s="5"/>
      <c r="AN283" s="5"/>
      <c r="AO283" s="5"/>
      <c r="AP283" s="5"/>
      <c r="AQ283" s="5"/>
      <c r="AR283" s="5"/>
    </row>
    <row r="284" ht="15.75" customHeight="1">
      <c r="A284" s="36"/>
      <c r="B284" s="37"/>
      <c r="C284" s="2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33"/>
      <c r="AL284" s="5"/>
      <c r="AM284" s="5"/>
      <c r="AN284" s="5"/>
      <c r="AO284" s="5"/>
      <c r="AP284" s="5"/>
      <c r="AQ284" s="5"/>
      <c r="AR284" s="5"/>
    </row>
    <row r="285" ht="15.75" customHeight="1">
      <c r="A285" s="36"/>
      <c r="B285" s="37"/>
      <c r="C285" s="2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33"/>
      <c r="AL285" s="5"/>
      <c r="AM285" s="5"/>
      <c r="AN285" s="5"/>
      <c r="AO285" s="5"/>
      <c r="AP285" s="5"/>
      <c r="AQ285" s="5"/>
      <c r="AR285" s="5"/>
    </row>
    <row r="286" ht="15.75" customHeight="1">
      <c r="A286" s="36"/>
      <c r="B286" s="37"/>
      <c r="C286" s="2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33"/>
      <c r="AL286" s="5"/>
      <c r="AM286" s="5"/>
      <c r="AN286" s="5"/>
      <c r="AO286" s="5"/>
      <c r="AP286" s="5"/>
      <c r="AQ286" s="5"/>
      <c r="AR286" s="5"/>
    </row>
    <row r="287" ht="15.75" customHeight="1">
      <c r="A287" s="36"/>
      <c r="B287" s="37"/>
      <c r="C287" s="2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33"/>
      <c r="AL287" s="5"/>
      <c r="AM287" s="5"/>
      <c r="AN287" s="5"/>
      <c r="AO287" s="5"/>
      <c r="AP287" s="5"/>
      <c r="AQ287" s="5"/>
      <c r="AR287" s="5"/>
    </row>
    <row r="288" ht="15.75" customHeight="1">
      <c r="A288" s="36"/>
      <c r="B288" s="37"/>
      <c r="C288" s="2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33"/>
      <c r="AL288" s="5"/>
      <c r="AM288" s="5"/>
      <c r="AN288" s="5"/>
      <c r="AO288" s="5"/>
      <c r="AP288" s="5"/>
      <c r="AQ288" s="5"/>
      <c r="AR288" s="5"/>
    </row>
    <row r="289" ht="15.75" customHeight="1">
      <c r="A289" s="36"/>
      <c r="B289" s="37"/>
      <c r="C289" s="2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33"/>
      <c r="AL289" s="5"/>
      <c r="AM289" s="5"/>
      <c r="AN289" s="5"/>
      <c r="AO289" s="5"/>
      <c r="AP289" s="5"/>
      <c r="AQ289" s="5"/>
      <c r="AR289" s="5"/>
    </row>
    <row r="290" ht="15.75" customHeight="1">
      <c r="A290" s="36"/>
      <c r="B290" s="37"/>
      <c r="C290" s="2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33"/>
      <c r="AL290" s="5"/>
      <c r="AM290" s="5"/>
      <c r="AN290" s="5"/>
      <c r="AO290" s="5"/>
      <c r="AP290" s="5"/>
      <c r="AQ290" s="5"/>
      <c r="AR290" s="5"/>
    </row>
    <row r="291" ht="15.75" customHeight="1">
      <c r="A291" s="36"/>
      <c r="B291" s="37"/>
      <c r="C291" s="2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33"/>
      <c r="AL291" s="5"/>
      <c r="AM291" s="5"/>
      <c r="AN291" s="5"/>
      <c r="AO291" s="5"/>
      <c r="AP291" s="5"/>
      <c r="AQ291" s="5"/>
      <c r="AR291" s="5"/>
    </row>
    <row r="292" ht="15.75" customHeight="1">
      <c r="A292" s="36"/>
      <c r="B292" s="37"/>
      <c r="C292" s="2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33"/>
      <c r="AL292" s="5"/>
      <c r="AM292" s="5"/>
      <c r="AN292" s="5"/>
      <c r="AO292" s="5"/>
      <c r="AP292" s="5"/>
      <c r="AQ292" s="5"/>
      <c r="AR292" s="5"/>
    </row>
    <row r="293" ht="15.75" customHeight="1">
      <c r="A293" s="36"/>
      <c r="B293" s="37"/>
      <c r="C293" s="2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33"/>
      <c r="AL293" s="5"/>
      <c r="AM293" s="5"/>
      <c r="AN293" s="5"/>
      <c r="AO293" s="5"/>
      <c r="AP293" s="5"/>
      <c r="AQ293" s="5"/>
      <c r="AR293" s="5"/>
    </row>
    <row r="294" ht="15.75" customHeight="1">
      <c r="A294" s="36"/>
      <c r="B294" s="37"/>
      <c r="C294" s="2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33"/>
      <c r="AL294" s="5"/>
      <c r="AM294" s="5"/>
      <c r="AN294" s="5"/>
      <c r="AO294" s="5"/>
      <c r="AP294" s="5"/>
      <c r="AQ294" s="5"/>
      <c r="AR294" s="5"/>
    </row>
    <row r="295" ht="15.75" customHeight="1">
      <c r="A295" s="36"/>
      <c r="B295" s="37"/>
      <c r="C295" s="2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33"/>
      <c r="AL295" s="5"/>
      <c r="AM295" s="5"/>
      <c r="AN295" s="5"/>
      <c r="AO295" s="5"/>
      <c r="AP295" s="5"/>
      <c r="AQ295" s="5"/>
      <c r="AR295" s="5"/>
    </row>
    <row r="296" ht="15.75" customHeight="1">
      <c r="A296" s="36"/>
      <c r="B296" s="37"/>
      <c r="C296" s="2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33"/>
      <c r="AL296" s="5"/>
      <c r="AM296" s="5"/>
      <c r="AN296" s="5"/>
      <c r="AO296" s="5"/>
      <c r="AP296" s="5"/>
      <c r="AQ296" s="5"/>
      <c r="AR296" s="5"/>
    </row>
    <row r="297" ht="15.75" customHeight="1">
      <c r="A297" s="36"/>
      <c r="B297" s="37"/>
      <c r="C297" s="2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33"/>
      <c r="AL297" s="5"/>
      <c r="AM297" s="5"/>
      <c r="AN297" s="5"/>
      <c r="AO297" s="5"/>
      <c r="AP297" s="5"/>
      <c r="AQ297" s="5"/>
      <c r="AR297" s="5"/>
    </row>
    <row r="298" ht="15.75" customHeight="1">
      <c r="A298" s="36"/>
      <c r="B298" s="37"/>
      <c r="C298" s="2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33"/>
      <c r="AL298" s="5"/>
      <c r="AM298" s="5"/>
      <c r="AN298" s="5"/>
      <c r="AO298" s="5"/>
      <c r="AP298" s="5"/>
      <c r="AQ298" s="5"/>
      <c r="AR298" s="5"/>
    </row>
    <row r="299" ht="15.75" customHeight="1">
      <c r="A299" s="36"/>
      <c r="B299" s="37"/>
      <c r="C299" s="2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33"/>
      <c r="AL299" s="5"/>
      <c r="AM299" s="5"/>
      <c r="AN299" s="5"/>
      <c r="AO299" s="5"/>
      <c r="AP299" s="5"/>
      <c r="AQ299" s="5"/>
      <c r="AR299" s="5"/>
    </row>
    <row r="300" ht="15.75" customHeight="1">
      <c r="A300" s="36"/>
      <c r="B300" s="37"/>
      <c r="C300" s="2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33"/>
      <c r="AL300" s="5"/>
      <c r="AM300" s="5"/>
      <c r="AN300" s="5"/>
      <c r="AO300" s="5"/>
      <c r="AP300" s="5"/>
      <c r="AQ300" s="5"/>
      <c r="AR300" s="5"/>
    </row>
    <row r="301" ht="15.75" customHeight="1">
      <c r="A301" s="36"/>
      <c r="B301" s="37"/>
      <c r="C301" s="2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33"/>
      <c r="AL301" s="5"/>
      <c r="AM301" s="5"/>
      <c r="AN301" s="5"/>
      <c r="AO301" s="5"/>
      <c r="AP301" s="5"/>
      <c r="AQ301" s="5"/>
      <c r="AR301" s="5"/>
    </row>
    <row r="302" ht="15.75" customHeight="1">
      <c r="A302" s="36"/>
      <c r="B302" s="37"/>
      <c r="C302" s="2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33"/>
      <c r="AL302" s="5"/>
      <c r="AM302" s="5"/>
      <c r="AN302" s="5"/>
      <c r="AO302" s="5"/>
      <c r="AP302" s="5"/>
      <c r="AQ302" s="5"/>
      <c r="AR302" s="5"/>
    </row>
    <row r="303" ht="15.75" customHeight="1">
      <c r="A303" s="36"/>
      <c r="B303" s="37"/>
      <c r="C303" s="2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33"/>
      <c r="AL303" s="5"/>
      <c r="AM303" s="5"/>
      <c r="AN303" s="5"/>
      <c r="AO303" s="5"/>
      <c r="AP303" s="5"/>
      <c r="AQ303" s="5"/>
      <c r="AR303" s="5"/>
    </row>
    <row r="304" ht="15.75" customHeight="1">
      <c r="A304" s="36"/>
      <c r="B304" s="37"/>
      <c r="C304" s="2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33"/>
      <c r="AL304" s="5"/>
      <c r="AM304" s="5"/>
      <c r="AN304" s="5"/>
      <c r="AO304" s="5"/>
      <c r="AP304" s="5"/>
      <c r="AQ304" s="5"/>
      <c r="AR304" s="5"/>
    </row>
    <row r="305" ht="15.75" customHeight="1">
      <c r="A305" s="36"/>
      <c r="B305" s="37"/>
      <c r="C305" s="2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33"/>
      <c r="AL305" s="5"/>
      <c r="AM305" s="5"/>
      <c r="AN305" s="5"/>
      <c r="AO305" s="5"/>
      <c r="AP305" s="5"/>
      <c r="AQ305" s="5"/>
      <c r="AR305" s="5"/>
    </row>
    <row r="306" ht="15.75" customHeight="1">
      <c r="A306" s="36"/>
      <c r="B306" s="37"/>
      <c r="C306" s="2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33"/>
      <c r="AL306" s="5"/>
      <c r="AM306" s="5"/>
      <c r="AN306" s="5"/>
      <c r="AO306" s="5"/>
      <c r="AP306" s="5"/>
      <c r="AQ306" s="5"/>
      <c r="AR306" s="5"/>
    </row>
    <row r="307" ht="15.75" customHeight="1">
      <c r="A307" s="36"/>
      <c r="B307" s="37"/>
      <c r="C307" s="2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33"/>
      <c r="AL307" s="5"/>
      <c r="AM307" s="5"/>
      <c r="AN307" s="5"/>
      <c r="AO307" s="5"/>
      <c r="AP307" s="5"/>
      <c r="AQ307" s="5"/>
      <c r="AR307" s="5"/>
    </row>
    <row r="308" ht="15.75" customHeight="1">
      <c r="A308" s="36"/>
      <c r="B308" s="37"/>
      <c r="C308" s="2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33"/>
      <c r="AL308" s="5"/>
      <c r="AM308" s="5"/>
      <c r="AN308" s="5"/>
      <c r="AO308" s="5"/>
      <c r="AP308" s="5"/>
      <c r="AQ308" s="5"/>
      <c r="AR308" s="5"/>
    </row>
    <row r="309" ht="15.75" customHeight="1">
      <c r="A309" s="36"/>
      <c r="B309" s="37"/>
      <c r="C309" s="2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33"/>
      <c r="AL309" s="5"/>
      <c r="AM309" s="5"/>
      <c r="AN309" s="5"/>
      <c r="AO309" s="5"/>
      <c r="AP309" s="5"/>
      <c r="AQ309" s="5"/>
      <c r="AR309" s="5"/>
    </row>
    <row r="310" ht="15.75" customHeight="1">
      <c r="A310" s="36"/>
      <c r="B310" s="37"/>
      <c r="C310" s="2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33"/>
      <c r="AL310" s="5"/>
      <c r="AM310" s="5"/>
      <c r="AN310" s="5"/>
      <c r="AO310" s="5"/>
      <c r="AP310" s="5"/>
      <c r="AQ310" s="5"/>
      <c r="AR310" s="5"/>
    </row>
    <row r="311" ht="15.75" customHeight="1">
      <c r="A311" s="36"/>
      <c r="B311" s="37"/>
      <c r="C311" s="2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33"/>
      <c r="AL311" s="5"/>
      <c r="AM311" s="5"/>
      <c r="AN311" s="5"/>
      <c r="AO311" s="5"/>
      <c r="AP311" s="5"/>
      <c r="AQ311" s="5"/>
      <c r="AR311" s="5"/>
    </row>
    <row r="312" ht="15.75" customHeight="1">
      <c r="A312" s="36"/>
      <c r="B312" s="37"/>
      <c r="C312" s="2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33"/>
      <c r="AL312" s="5"/>
      <c r="AM312" s="5"/>
      <c r="AN312" s="5"/>
      <c r="AO312" s="5"/>
      <c r="AP312" s="5"/>
      <c r="AQ312" s="5"/>
      <c r="AR312" s="5"/>
    </row>
    <row r="313" ht="15.75" customHeight="1">
      <c r="A313" s="36"/>
      <c r="B313" s="37"/>
      <c r="C313" s="2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33"/>
      <c r="AL313" s="5"/>
      <c r="AM313" s="5"/>
      <c r="AN313" s="5"/>
      <c r="AO313" s="5"/>
      <c r="AP313" s="5"/>
      <c r="AQ313" s="5"/>
      <c r="AR313" s="5"/>
    </row>
    <row r="314" ht="15.75" customHeight="1">
      <c r="A314" s="36"/>
      <c r="B314" s="37"/>
      <c r="C314" s="2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33"/>
      <c r="AL314" s="5"/>
      <c r="AM314" s="5"/>
      <c r="AN314" s="5"/>
      <c r="AO314" s="5"/>
      <c r="AP314" s="5"/>
      <c r="AQ314" s="5"/>
      <c r="AR314" s="5"/>
    </row>
    <row r="315" ht="15.75" customHeight="1">
      <c r="A315" s="36"/>
      <c r="B315" s="37"/>
      <c r="C315" s="2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33"/>
      <c r="AL315" s="5"/>
      <c r="AM315" s="5"/>
      <c r="AN315" s="5"/>
      <c r="AO315" s="5"/>
      <c r="AP315" s="5"/>
      <c r="AQ315" s="5"/>
      <c r="AR315" s="5"/>
    </row>
    <row r="316" ht="15.75" customHeight="1">
      <c r="A316" s="36"/>
      <c r="B316" s="37"/>
      <c r="C316" s="2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33"/>
      <c r="AL316" s="5"/>
      <c r="AM316" s="5"/>
      <c r="AN316" s="5"/>
      <c r="AO316" s="5"/>
      <c r="AP316" s="5"/>
      <c r="AQ316" s="5"/>
      <c r="AR316" s="5"/>
    </row>
    <row r="317" ht="15.75" customHeight="1">
      <c r="A317" s="36"/>
      <c r="B317" s="37"/>
      <c r="C317" s="2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33"/>
      <c r="AL317" s="5"/>
      <c r="AM317" s="5"/>
      <c r="AN317" s="5"/>
      <c r="AO317" s="5"/>
      <c r="AP317" s="5"/>
      <c r="AQ317" s="5"/>
      <c r="AR317" s="5"/>
    </row>
    <row r="318" ht="15.75" customHeight="1">
      <c r="A318" s="36"/>
      <c r="B318" s="37"/>
      <c r="C318" s="2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33"/>
      <c r="AL318" s="5"/>
      <c r="AM318" s="5"/>
      <c r="AN318" s="5"/>
      <c r="AO318" s="5"/>
      <c r="AP318" s="5"/>
      <c r="AQ318" s="5"/>
      <c r="AR318" s="5"/>
    </row>
    <row r="319" ht="15.75" customHeight="1">
      <c r="A319" s="36"/>
      <c r="B319" s="37"/>
      <c r="C319" s="2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33"/>
      <c r="AL319" s="5"/>
      <c r="AM319" s="5"/>
      <c r="AN319" s="5"/>
      <c r="AO319" s="5"/>
      <c r="AP319" s="5"/>
      <c r="AQ319" s="5"/>
      <c r="AR319" s="5"/>
    </row>
    <row r="320" ht="15.75" customHeight="1">
      <c r="A320" s="36"/>
      <c r="B320" s="37"/>
      <c r="C320" s="2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33"/>
      <c r="AL320" s="5"/>
      <c r="AM320" s="5"/>
      <c r="AN320" s="5"/>
      <c r="AO320" s="5"/>
      <c r="AP320" s="5"/>
      <c r="AQ320" s="5"/>
      <c r="AR320" s="5"/>
    </row>
    <row r="321" ht="15.75" customHeight="1">
      <c r="A321" s="36"/>
      <c r="B321" s="37"/>
      <c r="C321" s="2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33"/>
      <c r="AL321" s="5"/>
      <c r="AM321" s="5"/>
      <c r="AN321" s="5"/>
      <c r="AO321" s="5"/>
      <c r="AP321" s="5"/>
      <c r="AQ321" s="5"/>
      <c r="AR321" s="5"/>
    </row>
    <row r="322" ht="15.75" customHeight="1">
      <c r="A322" s="36"/>
      <c r="B322" s="37"/>
      <c r="C322" s="2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33"/>
      <c r="AL322" s="5"/>
      <c r="AM322" s="5"/>
      <c r="AN322" s="5"/>
      <c r="AO322" s="5"/>
      <c r="AP322" s="5"/>
      <c r="AQ322" s="5"/>
      <c r="AR322" s="5"/>
    </row>
    <row r="323" ht="15.75" customHeight="1">
      <c r="A323" s="36"/>
      <c r="B323" s="37"/>
      <c r="C323" s="2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33"/>
      <c r="AL323" s="5"/>
      <c r="AM323" s="5"/>
      <c r="AN323" s="5"/>
      <c r="AO323" s="5"/>
      <c r="AP323" s="5"/>
      <c r="AQ323" s="5"/>
      <c r="AR323" s="5"/>
    </row>
    <row r="324" ht="15.75" customHeight="1">
      <c r="A324" s="36"/>
      <c r="B324" s="37"/>
      <c r="C324" s="2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33"/>
      <c r="AL324" s="5"/>
      <c r="AM324" s="5"/>
      <c r="AN324" s="5"/>
      <c r="AO324" s="5"/>
      <c r="AP324" s="5"/>
      <c r="AQ324" s="5"/>
      <c r="AR324" s="5"/>
    </row>
    <row r="325" ht="15.75" customHeight="1">
      <c r="A325" s="36"/>
      <c r="B325" s="37"/>
      <c r="C325" s="2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33"/>
      <c r="AL325" s="5"/>
      <c r="AM325" s="5"/>
      <c r="AN325" s="5"/>
      <c r="AO325" s="5"/>
      <c r="AP325" s="5"/>
      <c r="AQ325" s="5"/>
      <c r="AR325" s="5"/>
    </row>
    <row r="326" ht="15.75" customHeight="1">
      <c r="A326" s="36"/>
      <c r="B326" s="37"/>
      <c r="C326" s="2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33"/>
      <c r="AL326" s="5"/>
      <c r="AM326" s="5"/>
      <c r="AN326" s="5"/>
      <c r="AO326" s="5"/>
      <c r="AP326" s="5"/>
      <c r="AQ326" s="5"/>
      <c r="AR326" s="5"/>
    </row>
    <row r="327" ht="15.75" customHeight="1">
      <c r="A327" s="36"/>
      <c r="B327" s="37"/>
      <c r="C327" s="2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33"/>
      <c r="AL327" s="5"/>
      <c r="AM327" s="5"/>
      <c r="AN327" s="5"/>
      <c r="AO327" s="5"/>
      <c r="AP327" s="5"/>
      <c r="AQ327" s="5"/>
      <c r="AR327" s="5"/>
    </row>
    <row r="328" ht="15.75" customHeight="1">
      <c r="A328" s="36"/>
      <c r="B328" s="37"/>
      <c r="C328" s="2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33"/>
      <c r="AL328" s="5"/>
      <c r="AM328" s="5"/>
      <c r="AN328" s="5"/>
      <c r="AO328" s="5"/>
      <c r="AP328" s="5"/>
      <c r="AQ328" s="5"/>
      <c r="AR328" s="5"/>
    </row>
    <row r="329" ht="15.75" customHeight="1">
      <c r="A329" s="36"/>
      <c r="B329" s="37"/>
      <c r="C329" s="2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33"/>
      <c r="AL329" s="5"/>
      <c r="AM329" s="5"/>
      <c r="AN329" s="5"/>
      <c r="AO329" s="5"/>
      <c r="AP329" s="5"/>
      <c r="AQ329" s="5"/>
      <c r="AR329" s="5"/>
    </row>
    <row r="330" ht="15.75" customHeight="1">
      <c r="A330" s="36"/>
      <c r="B330" s="37"/>
      <c r="C330" s="2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33"/>
      <c r="AL330" s="5"/>
      <c r="AM330" s="5"/>
      <c r="AN330" s="5"/>
      <c r="AO330" s="5"/>
      <c r="AP330" s="5"/>
      <c r="AQ330" s="5"/>
      <c r="AR330" s="5"/>
    </row>
    <row r="331" ht="15.75" customHeight="1">
      <c r="A331" s="36"/>
      <c r="B331" s="37"/>
      <c r="C331" s="2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33"/>
      <c r="AL331" s="5"/>
      <c r="AM331" s="5"/>
      <c r="AN331" s="5"/>
      <c r="AO331" s="5"/>
      <c r="AP331" s="5"/>
      <c r="AQ331" s="5"/>
      <c r="AR331" s="5"/>
    </row>
    <row r="332" ht="15.75" customHeight="1">
      <c r="A332" s="36"/>
      <c r="B332" s="37"/>
      <c r="C332" s="2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33"/>
      <c r="AL332" s="5"/>
      <c r="AM332" s="5"/>
      <c r="AN332" s="5"/>
      <c r="AO332" s="5"/>
      <c r="AP332" s="5"/>
      <c r="AQ332" s="5"/>
      <c r="AR332" s="5"/>
    </row>
    <row r="333" ht="15.75" customHeight="1">
      <c r="A333" s="36"/>
      <c r="B333" s="37"/>
      <c r="C333" s="2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33"/>
      <c r="AL333" s="5"/>
      <c r="AM333" s="5"/>
      <c r="AN333" s="5"/>
      <c r="AO333" s="5"/>
      <c r="AP333" s="5"/>
      <c r="AQ333" s="5"/>
      <c r="AR333" s="5"/>
    </row>
    <row r="334" ht="15.75" customHeight="1">
      <c r="A334" s="36"/>
      <c r="B334" s="37"/>
      <c r="C334" s="2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33"/>
      <c r="AL334" s="5"/>
      <c r="AM334" s="5"/>
      <c r="AN334" s="5"/>
      <c r="AO334" s="5"/>
      <c r="AP334" s="5"/>
      <c r="AQ334" s="5"/>
      <c r="AR334" s="5"/>
    </row>
    <row r="335" ht="15.75" customHeight="1">
      <c r="A335" s="36"/>
      <c r="B335" s="37"/>
      <c r="C335" s="2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33"/>
      <c r="AL335" s="5"/>
      <c r="AM335" s="5"/>
      <c r="AN335" s="5"/>
      <c r="AO335" s="5"/>
      <c r="AP335" s="5"/>
      <c r="AQ335" s="5"/>
      <c r="AR335" s="5"/>
    </row>
    <row r="336" ht="15.75" customHeight="1">
      <c r="A336" s="36"/>
      <c r="B336" s="37"/>
      <c r="C336" s="2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33"/>
      <c r="AL336" s="5"/>
      <c r="AM336" s="5"/>
      <c r="AN336" s="5"/>
      <c r="AO336" s="5"/>
      <c r="AP336" s="5"/>
      <c r="AQ336" s="5"/>
      <c r="AR336" s="5"/>
    </row>
    <row r="337" ht="15.75" customHeight="1">
      <c r="A337" s="36"/>
      <c r="B337" s="37"/>
      <c r="C337" s="2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33"/>
      <c r="AL337" s="5"/>
      <c r="AM337" s="5"/>
      <c r="AN337" s="5"/>
      <c r="AO337" s="5"/>
      <c r="AP337" s="5"/>
      <c r="AQ337" s="5"/>
      <c r="AR337" s="5"/>
    </row>
    <row r="338" ht="15.75" customHeight="1">
      <c r="A338" s="36"/>
      <c r="B338" s="37"/>
      <c r="C338" s="2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33"/>
      <c r="AL338" s="5"/>
      <c r="AM338" s="5"/>
      <c r="AN338" s="5"/>
      <c r="AO338" s="5"/>
      <c r="AP338" s="5"/>
      <c r="AQ338" s="5"/>
      <c r="AR338" s="5"/>
    </row>
    <row r="339" ht="15.75" customHeight="1">
      <c r="A339" s="36"/>
      <c r="B339" s="37"/>
      <c r="C339" s="2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33"/>
      <c r="AL339" s="5"/>
      <c r="AM339" s="5"/>
      <c r="AN339" s="5"/>
      <c r="AO339" s="5"/>
      <c r="AP339" s="5"/>
      <c r="AQ339" s="5"/>
      <c r="AR339" s="5"/>
    </row>
    <row r="340" ht="15.75" customHeight="1">
      <c r="A340" s="36"/>
      <c r="B340" s="37"/>
      <c r="C340" s="2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33"/>
      <c r="AL340" s="5"/>
      <c r="AM340" s="5"/>
      <c r="AN340" s="5"/>
      <c r="AO340" s="5"/>
      <c r="AP340" s="5"/>
      <c r="AQ340" s="5"/>
      <c r="AR340" s="5"/>
    </row>
    <row r="341" ht="15.75" customHeight="1">
      <c r="A341" s="36"/>
      <c r="B341" s="37"/>
      <c r="C341" s="2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33"/>
      <c r="AL341" s="5"/>
      <c r="AM341" s="5"/>
      <c r="AN341" s="5"/>
      <c r="AO341" s="5"/>
      <c r="AP341" s="5"/>
      <c r="AQ341" s="5"/>
      <c r="AR341" s="5"/>
    </row>
    <row r="342" ht="15.75" customHeight="1">
      <c r="A342" s="36"/>
      <c r="B342" s="37"/>
      <c r="C342" s="2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33"/>
      <c r="AL342" s="5"/>
      <c r="AM342" s="5"/>
      <c r="AN342" s="5"/>
      <c r="AO342" s="5"/>
      <c r="AP342" s="5"/>
      <c r="AQ342" s="5"/>
      <c r="AR342" s="5"/>
    </row>
    <row r="343" ht="15.75" customHeight="1">
      <c r="A343" s="36"/>
      <c r="B343" s="37"/>
      <c r="C343" s="2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33"/>
      <c r="AL343" s="5"/>
      <c r="AM343" s="5"/>
      <c r="AN343" s="5"/>
      <c r="AO343" s="5"/>
      <c r="AP343" s="5"/>
      <c r="AQ343" s="5"/>
      <c r="AR343" s="5"/>
    </row>
    <row r="344" ht="15.75" customHeight="1">
      <c r="A344" s="36"/>
      <c r="B344" s="37"/>
      <c r="C344" s="2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33"/>
      <c r="AL344" s="5"/>
      <c r="AM344" s="5"/>
      <c r="AN344" s="5"/>
      <c r="AO344" s="5"/>
      <c r="AP344" s="5"/>
      <c r="AQ344" s="5"/>
      <c r="AR344" s="5"/>
    </row>
    <row r="345" ht="15.75" customHeight="1">
      <c r="A345" s="36"/>
      <c r="B345" s="37"/>
      <c r="C345" s="2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33"/>
      <c r="AL345" s="5"/>
      <c r="AM345" s="5"/>
      <c r="AN345" s="5"/>
      <c r="AO345" s="5"/>
      <c r="AP345" s="5"/>
      <c r="AQ345" s="5"/>
      <c r="AR345" s="5"/>
    </row>
    <row r="346" ht="15.75" customHeight="1">
      <c r="A346" s="36"/>
      <c r="B346" s="37"/>
      <c r="C346" s="2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33"/>
      <c r="AL346" s="5"/>
      <c r="AM346" s="5"/>
      <c r="AN346" s="5"/>
      <c r="AO346" s="5"/>
      <c r="AP346" s="5"/>
      <c r="AQ346" s="5"/>
      <c r="AR346" s="5"/>
    </row>
    <row r="347" ht="15.75" customHeight="1">
      <c r="A347" s="36"/>
      <c r="B347" s="37"/>
      <c r="C347" s="2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33"/>
      <c r="AL347" s="5"/>
      <c r="AM347" s="5"/>
      <c r="AN347" s="5"/>
      <c r="AO347" s="5"/>
      <c r="AP347" s="5"/>
      <c r="AQ347" s="5"/>
      <c r="AR347" s="5"/>
    </row>
    <row r="348" ht="15.75" customHeight="1">
      <c r="A348" s="36"/>
      <c r="B348" s="37"/>
      <c r="C348" s="2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33"/>
      <c r="AL348" s="5"/>
      <c r="AM348" s="5"/>
      <c r="AN348" s="5"/>
      <c r="AO348" s="5"/>
      <c r="AP348" s="5"/>
      <c r="AQ348" s="5"/>
      <c r="AR348" s="5"/>
    </row>
    <row r="349" ht="15.75" customHeight="1">
      <c r="A349" s="36"/>
      <c r="B349" s="37"/>
      <c r="C349" s="2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33"/>
      <c r="AL349" s="5"/>
      <c r="AM349" s="5"/>
      <c r="AN349" s="5"/>
      <c r="AO349" s="5"/>
      <c r="AP349" s="5"/>
      <c r="AQ349" s="5"/>
      <c r="AR349" s="5"/>
    </row>
    <row r="350" ht="15.75" customHeight="1">
      <c r="A350" s="36"/>
      <c r="B350" s="37"/>
      <c r="C350" s="2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33"/>
      <c r="AL350" s="5"/>
      <c r="AM350" s="5"/>
      <c r="AN350" s="5"/>
      <c r="AO350" s="5"/>
      <c r="AP350" s="5"/>
      <c r="AQ350" s="5"/>
      <c r="AR350" s="5"/>
    </row>
    <row r="351" ht="15.75" customHeight="1">
      <c r="A351" s="36"/>
      <c r="B351" s="37"/>
      <c r="C351" s="2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33"/>
      <c r="AL351" s="5"/>
      <c r="AM351" s="5"/>
      <c r="AN351" s="5"/>
      <c r="AO351" s="5"/>
      <c r="AP351" s="5"/>
      <c r="AQ351" s="5"/>
      <c r="AR351" s="5"/>
    </row>
    <row r="352" ht="15.75" customHeight="1">
      <c r="A352" s="36"/>
      <c r="B352" s="37"/>
      <c r="C352" s="2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33"/>
      <c r="AL352" s="5"/>
      <c r="AM352" s="5"/>
      <c r="AN352" s="5"/>
      <c r="AO352" s="5"/>
      <c r="AP352" s="5"/>
      <c r="AQ352" s="5"/>
      <c r="AR352" s="5"/>
    </row>
    <row r="353" ht="15.75" customHeight="1">
      <c r="A353" s="36"/>
      <c r="B353" s="37"/>
      <c r="C353" s="2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33"/>
      <c r="AL353" s="5"/>
      <c r="AM353" s="5"/>
      <c r="AN353" s="5"/>
      <c r="AO353" s="5"/>
      <c r="AP353" s="5"/>
      <c r="AQ353" s="5"/>
      <c r="AR353" s="5"/>
    </row>
    <row r="354" ht="15.75" customHeight="1">
      <c r="A354" s="36"/>
      <c r="B354" s="37"/>
      <c r="C354" s="2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33"/>
      <c r="AL354" s="5"/>
      <c r="AM354" s="5"/>
      <c r="AN354" s="5"/>
      <c r="AO354" s="5"/>
      <c r="AP354" s="5"/>
      <c r="AQ354" s="5"/>
      <c r="AR354" s="5"/>
    </row>
    <row r="355" ht="15.75" customHeight="1">
      <c r="A355" s="36"/>
      <c r="B355" s="37"/>
      <c r="C355" s="2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33"/>
      <c r="AL355" s="5"/>
      <c r="AM355" s="5"/>
      <c r="AN355" s="5"/>
      <c r="AO355" s="5"/>
      <c r="AP355" s="5"/>
      <c r="AQ355" s="5"/>
      <c r="AR355" s="5"/>
    </row>
    <row r="356" ht="15.75" customHeight="1">
      <c r="A356" s="36"/>
      <c r="B356" s="37"/>
      <c r="C356" s="2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33"/>
      <c r="AL356" s="5"/>
      <c r="AM356" s="5"/>
      <c r="AN356" s="5"/>
      <c r="AO356" s="5"/>
      <c r="AP356" s="5"/>
      <c r="AQ356" s="5"/>
      <c r="AR356" s="5"/>
    </row>
    <row r="357" ht="15.75" customHeight="1">
      <c r="A357" s="36"/>
      <c r="B357" s="37"/>
      <c r="C357" s="2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33"/>
      <c r="AL357" s="5"/>
      <c r="AM357" s="5"/>
      <c r="AN357" s="5"/>
      <c r="AO357" s="5"/>
      <c r="AP357" s="5"/>
      <c r="AQ357" s="5"/>
      <c r="AR357" s="5"/>
    </row>
    <row r="358" ht="15.75" customHeight="1">
      <c r="A358" s="36"/>
      <c r="B358" s="37"/>
      <c r="C358" s="2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33"/>
      <c r="AL358" s="5"/>
      <c r="AM358" s="5"/>
      <c r="AN358" s="5"/>
      <c r="AO358" s="5"/>
      <c r="AP358" s="5"/>
      <c r="AQ358" s="5"/>
      <c r="AR358" s="5"/>
    </row>
    <row r="359" ht="15.75" customHeight="1">
      <c r="A359" s="36"/>
      <c r="B359" s="37"/>
      <c r="C359" s="2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33"/>
      <c r="AL359" s="5"/>
      <c r="AM359" s="5"/>
      <c r="AN359" s="5"/>
      <c r="AO359" s="5"/>
      <c r="AP359" s="5"/>
      <c r="AQ359" s="5"/>
      <c r="AR359" s="5"/>
    </row>
    <row r="360" ht="15.75" customHeight="1">
      <c r="A360" s="36"/>
      <c r="B360" s="37"/>
      <c r="C360" s="2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33"/>
      <c r="AL360" s="5"/>
      <c r="AM360" s="5"/>
      <c r="AN360" s="5"/>
      <c r="AO360" s="5"/>
      <c r="AP360" s="5"/>
      <c r="AQ360" s="5"/>
      <c r="AR360" s="5"/>
    </row>
    <row r="361" ht="15.75" customHeight="1">
      <c r="A361" s="36"/>
      <c r="B361" s="37"/>
      <c r="C361" s="2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33"/>
      <c r="AL361" s="5"/>
      <c r="AM361" s="5"/>
      <c r="AN361" s="5"/>
      <c r="AO361" s="5"/>
      <c r="AP361" s="5"/>
      <c r="AQ361" s="5"/>
      <c r="AR361" s="5"/>
    </row>
    <row r="362" ht="15.75" customHeight="1">
      <c r="A362" s="36"/>
      <c r="B362" s="37"/>
      <c r="C362" s="2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33"/>
      <c r="AL362" s="5"/>
      <c r="AM362" s="5"/>
      <c r="AN362" s="5"/>
      <c r="AO362" s="5"/>
      <c r="AP362" s="5"/>
      <c r="AQ362" s="5"/>
      <c r="AR362" s="5"/>
    </row>
    <row r="363" ht="15.75" customHeight="1">
      <c r="A363" s="36"/>
      <c r="B363" s="37"/>
      <c r="C363" s="2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33"/>
      <c r="AL363" s="5"/>
      <c r="AM363" s="5"/>
      <c r="AN363" s="5"/>
      <c r="AO363" s="5"/>
      <c r="AP363" s="5"/>
      <c r="AQ363" s="5"/>
      <c r="AR363" s="5"/>
    </row>
    <row r="364" ht="15.75" customHeight="1">
      <c r="A364" s="36"/>
      <c r="B364" s="37"/>
      <c r="C364" s="2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33"/>
      <c r="AL364" s="5"/>
      <c r="AM364" s="5"/>
      <c r="AN364" s="5"/>
      <c r="AO364" s="5"/>
      <c r="AP364" s="5"/>
      <c r="AQ364" s="5"/>
      <c r="AR364" s="5"/>
    </row>
    <row r="365" ht="15.75" customHeight="1">
      <c r="A365" s="36"/>
      <c r="B365" s="37"/>
      <c r="C365" s="2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33"/>
      <c r="AL365" s="5"/>
      <c r="AM365" s="5"/>
      <c r="AN365" s="5"/>
      <c r="AO365" s="5"/>
      <c r="AP365" s="5"/>
      <c r="AQ365" s="5"/>
      <c r="AR365" s="5"/>
    </row>
    <row r="366" ht="15.75" customHeight="1">
      <c r="A366" s="36"/>
      <c r="B366" s="37"/>
      <c r="C366" s="2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33"/>
      <c r="AL366" s="5"/>
      <c r="AM366" s="5"/>
      <c r="AN366" s="5"/>
      <c r="AO366" s="5"/>
      <c r="AP366" s="5"/>
      <c r="AQ366" s="5"/>
      <c r="AR366" s="5"/>
    </row>
    <row r="367" ht="15.75" customHeight="1">
      <c r="A367" s="36"/>
      <c r="B367" s="37"/>
      <c r="C367" s="2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33"/>
      <c r="AL367" s="5"/>
      <c r="AM367" s="5"/>
      <c r="AN367" s="5"/>
      <c r="AO367" s="5"/>
      <c r="AP367" s="5"/>
      <c r="AQ367" s="5"/>
      <c r="AR367" s="5"/>
    </row>
    <row r="368" ht="15.75" customHeight="1">
      <c r="A368" s="36"/>
      <c r="B368" s="37"/>
      <c r="C368" s="2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33"/>
      <c r="AL368" s="5"/>
      <c r="AM368" s="5"/>
      <c r="AN368" s="5"/>
      <c r="AO368" s="5"/>
      <c r="AP368" s="5"/>
      <c r="AQ368" s="5"/>
      <c r="AR368" s="5"/>
    </row>
    <row r="369" ht="15.75" customHeight="1">
      <c r="A369" s="36"/>
      <c r="B369" s="37"/>
      <c r="C369" s="2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33"/>
      <c r="AL369" s="5"/>
      <c r="AM369" s="5"/>
      <c r="AN369" s="5"/>
      <c r="AO369" s="5"/>
      <c r="AP369" s="5"/>
      <c r="AQ369" s="5"/>
      <c r="AR369" s="5"/>
    </row>
    <row r="370" ht="15.75" customHeight="1">
      <c r="A370" s="36"/>
      <c r="B370" s="37"/>
      <c r="C370" s="2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33"/>
      <c r="AL370" s="5"/>
      <c r="AM370" s="5"/>
      <c r="AN370" s="5"/>
      <c r="AO370" s="5"/>
      <c r="AP370" s="5"/>
      <c r="AQ370" s="5"/>
      <c r="AR370" s="5"/>
    </row>
    <row r="371" ht="15.75" customHeight="1">
      <c r="A371" s="36"/>
      <c r="B371" s="37"/>
      <c r="C371" s="2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33"/>
      <c r="AL371" s="5"/>
      <c r="AM371" s="5"/>
      <c r="AN371" s="5"/>
      <c r="AO371" s="5"/>
      <c r="AP371" s="5"/>
      <c r="AQ371" s="5"/>
      <c r="AR371" s="5"/>
    </row>
    <row r="372" ht="15.75" customHeight="1">
      <c r="A372" s="36"/>
      <c r="B372" s="37"/>
      <c r="C372" s="2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33"/>
      <c r="AL372" s="5"/>
      <c r="AM372" s="5"/>
      <c r="AN372" s="5"/>
      <c r="AO372" s="5"/>
      <c r="AP372" s="5"/>
      <c r="AQ372" s="5"/>
      <c r="AR372" s="5"/>
    </row>
    <row r="373" ht="15.75" customHeight="1">
      <c r="A373" s="36"/>
      <c r="B373" s="37"/>
      <c r="C373" s="2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33"/>
      <c r="AL373" s="5"/>
      <c r="AM373" s="5"/>
      <c r="AN373" s="5"/>
      <c r="AO373" s="5"/>
      <c r="AP373" s="5"/>
      <c r="AQ373" s="5"/>
      <c r="AR373" s="5"/>
    </row>
    <row r="374" ht="15.75" customHeight="1">
      <c r="A374" s="36"/>
      <c r="B374" s="37"/>
      <c r="C374" s="2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33"/>
      <c r="AL374" s="5"/>
      <c r="AM374" s="5"/>
      <c r="AN374" s="5"/>
      <c r="AO374" s="5"/>
      <c r="AP374" s="5"/>
      <c r="AQ374" s="5"/>
      <c r="AR374" s="5"/>
    </row>
    <row r="375" ht="15.75" customHeight="1">
      <c r="A375" s="36"/>
      <c r="B375" s="37"/>
      <c r="C375" s="2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33"/>
      <c r="AL375" s="5"/>
      <c r="AM375" s="5"/>
      <c r="AN375" s="5"/>
      <c r="AO375" s="5"/>
      <c r="AP375" s="5"/>
      <c r="AQ375" s="5"/>
      <c r="AR375" s="5"/>
    </row>
    <row r="376" ht="15.75" customHeight="1">
      <c r="A376" s="36"/>
      <c r="B376" s="37"/>
      <c r="C376" s="2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33"/>
      <c r="AL376" s="5"/>
      <c r="AM376" s="5"/>
      <c r="AN376" s="5"/>
      <c r="AO376" s="5"/>
      <c r="AP376" s="5"/>
      <c r="AQ376" s="5"/>
      <c r="AR376" s="5"/>
    </row>
    <row r="377" ht="15.75" customHeight="1">
      <c r="A377" s="36"/>
      <c r="B377" s="37"/>
      <c r="C377" s="2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33"/>
      <c r="AL377" s="5"/>
      <c r="AM377" s="5"/>
      <c r="AN377" s="5"/>
      <c r="AO377" s="5"/>
      <c r="AP377" s="5"/>
      <c r="AQ377" s="5"/>
      <c r="AR377" s="5"/>
    </row>
    <row r="378" ht="15.75" customHeight="1">
      <c r="A378" s="36"/>
      <c r="B378" s="37"/>
      <c r="C378" s="2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33"/>
      <c r="AL378" s="5"/>
      <c r="AM378" s="5"/>
      <c r="AN378" s="5"/>
      <c r="AO378" s="5"/>
      <c r="AP378" s="5"/>
      <c r="AQ378" s="5"/>
      <c r="AR378" s="5"/>
    </row>
    <row r="379" ht="15.75" customHeight="1">
      <c r="A379" s="36"/>
      <c r="B379" s="37"/>
      <c r="C379" s="2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33"/>
      <c r="AL379" s="5"/>
      <c r="AM379" s="5"/>
      <c r="AN379" s="5"/>
      <c r="AO379" s="5"/>
      <c r="AP379" s="5"/>
      <c r="AQ379" s="5"/>
      <c r="AR379" s="5"/>
    </row>
    <row r="380" ht="15.75" customHeight="1">
      <c r="A380" s="36"/>
      <c r="B380" s="37"/>
      <c r="C380" s="2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33"/>
      <c r="AL380" s="5"/>
      <c r="AM380" s="5"/>
      <c r="AN380" s="5"/>
      <c r="AO380" s="5"/>
      <c r="AP380" s="5"/>
      <c r="AQ380" s="5"/>
      <c r="AR380" s="5"/>
    </row>
    <row r="381" ht="15.75" customHeight="1">
      <c r="A381" s="36"/>
      <c r="B381" s="37"/>
      <c r="C381" s="2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33"/>
      <c r="AL381" s="5"/>
      <c r="AM381" s="5"/>
      <c r="AN381" s="5"/>
      <c r="AO381" s="5"/>
      <c r="AP381" s="5"/>
      <c r="AQ381" s="5"/>
      <c r="AR381" s="5"/>
    </row>
    <row r="382" ht="15.75" customHeight="1">
      <c r="A382" s="36"/>
      <c r="B382" s="37"/>
      <c r="C382" s="2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33"/>
      <c r="AL382" s="5"/>
      <c r="AM382" s="5"/>
      <c r="AN382" s="5"/>
      <c r="AO382" s="5"/>
      <c r="AP382" s="5"/>
      <c r="AQ382" s="5"/>
      <c r="AR382" s="5"/>
    </row>
    <row r="383" ht="15.75" customHeight="1">
      <c r="A383" s="36"/>
      <c r="B383" s="37"/>
      <c r="C383" s="2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33"/>
      <c r="AL383" s="5"/>
      <c r="AM383" s="5"/>
      <c r="AN383" s="5"/>
      <c r="AO383" s="5"/>
      <c r="AP383" s="5"/>
      <c r="AQ383" s="5"/>
      <c r="AR383" s="5"/>
    </row>
    <row r="384" ht="15.75" customHeight="1">
      <c r="A384" s="36"/>
      <c r="B384" s="37"/>
      <c r="C384" s="2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33"/>
      <c r="AL384" s="5"/>
      <c r="AM384" s="5"/>
      <c r="AN384" s="5"/>
      <c r="AO384" s="5"/>
      <c r="AP384" s="5"/>
      <c r="AQ384" s="5"/>
      <c r="AR384" s="5"/>
    </row>
    <row r="385" ht="15.75" customHeight="1">
      <c r="A385" s="36"/>
      <c r="B385" s="37"/>
      <c r="C385" s="2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33"/>
      <c r="AL385" s="5"/>
      <c r="AM385" s="5"/>
      <c r="AN385" s="5"/>
      <c r="AO385" s="5"/>
      <c r="AP385" s="5"/>
      <c r="AQ385" s="5"/>
      <c r="AR385" s="5"/>
    </row>
    <row r="386" ht="15.75" customHeight="1">
      <c r="A386" s="36"/>
      <c r="B386" s="37"/>
      <c r="C386" s="2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33"/>
      <c r="AL386" s="5"/>
      <c r="AM386" s="5"/>
      <c r="AN386" s="5"/>
      <c r="AO386" s="5"/>
      <c r="AP386" s="5"/>
      <c r="AQ386" s="5"/>
      <c r="AR386" s="5"/>
    </row>
    <row r="387" ht="15.75" customHeight="1">
      <c r="A387" s="36"/>
      <c r="B387" s="37"/>
      <c r="C387" s="2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33"/>
      <c r="AL387" s="5"/>
      <c r="AM387" s="5"/>
      <c r="AN387" s="5"/>
      <c r="AO387" s="5"/>
      <c r="AP387" s="5"/>
      <c r="AQ387" s="5"/>
      <c r="AR387" s="5"/>
    </row>
    <row r="388" ht="15.75" customHeight="1">
      <c r="A388" s="36"/>
      <c r="B388" s="37"/>
      <c r="C388" s="2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33"/>
      <c r="AL388" s="5"/>
      <c r="AM388" s="5"/>
      <c r="AN388" s="5"/>
      <c r="AO388" s="5"/>
      <c r="AP388" s="5"/>
      <c r="AQ388" s="5"/>
      <c r="AR388" s="5"/>
    </row>
    <row r="389" ht="15.75" customHeight="1">
      <c r="A389" s="36"/>
      <c r="B389" s="37"/>
      <c r="C389" s="2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33"/>
      <c r="AL389" s="5"/>
      <c r="AM389" s="5"/>
      <c r="AN389" s="5"/>
      <c r="AO389" s="5"/>
      <c r="AP389" s="5"/>
      <c r="AQ389" s="5"/>
      <c r="AR389" s="5"/>
    </row>
    <row r="390" ht="15.75" customHeight="1">
      <c r="A390" s="36"/>
      <c r="B390" s="37"/>
      <c r="C390" s="2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33"/>
      <c r="AL390" s="5"/>
      <c r="AM390" s="5"/>
      <c r="AN390" s="5"/>
      <c r="AO390" s="5"/>
      <c r="AP390" s="5"/>
      <c r="AQ390" s="5"/>
      <c r="AR390" s="5"/>
    </row>
    <row r="391" ht="15.75" customHeight="1">
      <c r="A391" s="36"/>
      <c r="B391" s="37"/>
      <c r="C391" s="2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33"/>
      <c r="AL391" s="5"/>
      <c r="AM391" s="5"/>
      <c r="AN391" s="5"/>
      <c r="AO391" s="5"/>
      <c r="AP391" s="5"/>
      <c r="AQ391" s="5"/>
      <c r="AR391" s="5"/>
    </row>
    <row r="392" ht="15.75" customHeight="1">
      <c r="A392" s="36"/>
      <c r="B392" s="37"/>
      <c r="C392" s="2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33"/>
      <c r="AL392" s="5"/>
      <c r="AM392" s="5"/>
      <c r="AN392" s="5"/>
      <c r="AO392" s="5"/>
      <c r="AP392" s="5"/>
      <c r="AQ392" s="5"/>
      <c r="AR392" s="5"/>
    </row>
    <row r="393" ht="15.75" customHeight="1">
      <c r="A393" s="36"/>
      <c r="B393" s="37"/>
      <c r="C393" s="2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33"/>
      <c r="AL393" s="5"/>
      <c r="AM393" s="5"/>
      <c r="AN393" s="5"/>
      <c r="AO393" s="5"/>
      <c r="AP393" s="5"/>
      <c r="AQ393" s="5"/>
      <c r="AR393" s="5"/>
    </row>
    <row r="394" ht="15.75" customHeight="1">
      <c r="A394" s="36"/>
      <c r="B394" s="37"/>
      <c r="C394" s="2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33"/>
      <c r="AL394" s="5"/>
      <c r="AM394" s="5"/>
      <c r="AN394" s="5"/>
      <c r="AO394" s="5"/>
      <c r="AP394" s="5"/>
      <c r="AQ394" s="5"/>
      <c r="AR394" s="5"/>
    </row>
    <row r="395" ht="15.75" customHeight="1">
      <c r="A395" s="36"/>
      <c r="B395" s="37"/>
      <c r="C395" s="2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33"/>
      <c r="AL395" s="5"/>
      <c r="AM395" s="5"/>
      <c r="AN395" s="5"/>
      <c r="AO395" s="5"/>
      <c r="AP395" s="5"/>
      <c r="AQ395" s="5"/>
      <c r="AR395" s="5"/>
    </row>
    <row r="396" ht="15.75" customHeight="1">
      <c r="A396" s="36"/>
      <c r="B396" s="37"/>
      <c r="C396" s="2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33"/>
      <c r="AL396" s="5"/>
      <c r="AM396" s="5"/>
      <c r="AN396" s="5"/>
      <c r="AO396" s="5"/>
      <c r="AP396" s="5"/>
      <c r="AQ396" s="5"/>
      <c r="AR396" s="5"/>
    </row>
    <row r="397" ht="15.75" customHeight="1">
      <c r="A397" s="36"/>
      <c r="B397" s="37"/>
      <c r="C397" s="2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33"/>
      <c r="AL397" s="5"/>
      <c r="AM397" s="5"/>
      <c r="AN397" s="5"/>
      <c r="AO397" s="5"/>
      <c r="AP397" s="5"/>
      <c r="AQ397" s="5"/>
      <c r="AR397" s="5"/>
    </row>
    <row r="398" ht="15.75" customHeight="1">
      <c r="A398" s="36"/>
      <c r="B398" s="37"/>
      <c r="C398" s="2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33"/>
      <c r="AL398" s="5"/>
      <c r="AM398" s="5"/>
      <c r="AN398" s="5"/>
      <c r="AO398" s="5"/>
      <c r="AP398" s="5"/>
      <c r="AQ398" s="5"/>
      <c r="AR398" s="5"/>
    </row>
    <row r="399" ht="15.75" customHeight="1">
      <c r="A399" s="36"/>
      <c r="B399" s="37"/>
      <c r="C399" s="2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33"/>
      <c r="AL399" s="5"/>
      <c r="AM399" s="5"/>
      <c r="AN399" s="5"/>
      <c r="AO399" s="5"/>
      <c r="AP399" s="5"/>
      <c r="AQ399" s="5"/>
      <c r="AR399" s="5"/>
    </row>
    <row r="400" ht="15.75" customHeight="1">
      <c r="A400" s="36"/>
      <c r="B400" s="37"/>
      <c r="C400" s="2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33"/>
      <c r="AL400" s="5"/>
      <c r="AM400" s="5"/>
      <c r="AN400" s="5"/>
      <c r="AO400" s="5"/>
      <c r="AP400" s="5"/>
      <c r="AQ400" s="5"/>
      <c r="AR400" s="5"/>
    </row>
    <row r="401" ht="15.75" customHeight="1">
      <c r="A401" s="36"/>
      <c r="B401" s="37"/>
      <c r="C401" s="2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33"/>
      <c r="AL401" s="5"/>
      <c r="AM401" s="5"/>
      <c r="AN401" s="5"/>
      <c r="AO401" s="5"/>
      <c r="AP401" s="5"/>
      <c r="AQ401" s="5"/>
      <c r="AR401" s="5"/>
    </row>
    <row r="402" ht="15.75" customHeight="1">
      <c r="A402" s="36"/>
      <c r="B402" s="37"/>
      <c r="C402" s="2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33"/>
      <c r="AL402" s="5"/>
      <c r="AM402" s="5"/>
      <c r="AN402" s="5"/>
      <c r="AO402" s="5"/>
      <c r="AP402" s="5"/>
      <c r="AQ402" s="5"/>
      <c r="AR402" s="5"/>
    </row>
    <row r="403" ht="15.75" customHeight="1">
      <c r="A403" s="36"/>
      <c r="B403" s="37"/>
      <c r="C403" s="2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33"/>
      <c r="AL403" s="5"/>
      <c r="AM403" s="5"/>
      <c r="AN403" s="5"/>
      <c r="AO403" s="5"/>
      <c r="AP403" s="5"/>
      <c r="AQ403" s="5"/>
      <c r="AR403" s="5"/>
    </row>
    <row r="404" ht="15.75" customHeight="1">
      <c r="A404" s="36"/>
      <c r="B404" s="37"/>
      <c r="C404" s="2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33"/>
      <c r="AL404" s="5"/>
      <c r="AM404" s="5"/>
      <c r="AN404" s="5"/>
      <c r="AO404" s="5"/>
      <c r="AP404" s="5"/>
      <c r="AQ404" s="5"/>
      <c r="AR404" s="5"/>
    </row>
    <row r="405" ht="15.75" customHeight="1">
      <c r="A405" s="36"/>
      <c r="B405" s="37"/>
      <c r="C405" s="2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33"/>
      <c r="AL405" s="5"/>
      <c r="AM405" s="5"/>
      <c r="AN405" s="5"/>
      <c r="AO405" s="5"/>
      <c r="AP405" s="5"/>
      <c r="AQ405" s="5"/>
      <c r="AR405" s="5"/>
    </row>
    <row r="406" ht="15.75" customHeight="1">
      <c r="A406" s="36"/>
      <c r="B406" s="37"/>
      <c r="C406" s="2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33"/>
      <c r="AL406" s="5"/>
      <c r="AM406" s="5"/>
      <c r="AN406" s="5"/>
      <c r="AO406" s="5"/>
      <c r="AP406" s="5"/>
      <c r="AQ406" s="5"/>
      <c r="AR406" s="5"/>
    </row>
    <row r="407" ht="15.75" customHeight="1">
      <c r="A407" s="36"/>
      <c r="B407" s="37"/>
      <c r="C407" s="2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33"/>
      <c r="AL407" s="5"/>
      <c r="AM407" s="5"/>
      <c r="AN407" s="5"/>
      <c r="AO407" s="5"/>
      <c r="AP407" s="5"/>
      <c r="AQ407" s="5"/>
      <c r="AR407" s="5"/>
    </row>
    <row r="408" ht="15.75" customHeight="1">
      <c r="A408" s="36"/>
      <c r="B408" s="37"/>
      <c r="C408" s="2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33"/>
      <c r="AL408" s="5"/>
      <c r="AM408" s="5"/>
      <c r="AN408" s="5"/>
      <c r="AO408" s="5"/>
      <c r="AP408" s="5"/>
      <c r="AQ408" s="5"/>
      <c r="AR408" s="5"/>
    </row>
    <row r="409" ht="15.75" customHeight="1">
      <c r="A409" s="36"/>
      <c r="B409" s="37"/>
      <c r="C409" s="2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33"/>
      <c r="AL409" s="5"/>
      <c r="AM409" s="5"/>
      <c r="AN409" s="5"/>
      <c r="AO409" s="5"/>
      <c r="AP409" s="5"/>
      <c r="AQ409" s="5"/>
      <c r="AR409" s="5"/>
    </row>
    <row r="410" ht="15.75" customHeight="1">
      <c r="A410" s="36"/>
      <c r="B410" s="37"/>
      <c r="C410" s="2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33"/>
      <c r="AL410" s="5"/>
      <c r="AM410" s="5"/>
      <c r="AN410" s="5"/>
      <c r="AO410" s="5"/>
      <c r="AP410" s="5"/>
      <c r="AQ410" s="5"/>
      <c r="AR410" s="5"/>
    </row>
    <row r="411" ht="15.75" customHeight="1">
      <c r="A411" s="36"/>
      <c r="B411" s="37"/>
      <c r="C411" s="2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33"/>
      <c r="AL411" s="5"/>
      <c r="AM411" s="5"/>
      <c r="AN411" s="5"/>
      <c r="AO411" s="5"/>
      <c r="AP411" s="5"/>
      <c r="AQ411" s="5"/>
      <c r="AR411" s="5"/>
    </row>
    <row r="412" ht="15.75" customHeight="1">
      <c r="A412" s="36"/>
      <c r="B412" s="37"/>
      <c r="C412" s="2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33"/>
      <c r="AL412" s="5"/>
      <c r="AM412" s="5"/>
      <c r="AN412" s="5"/>
      <c r="AO412" s="5"/>
      <c r="AP412" s="5"/>
      <c r="AQ412" s="5"/>
      <c r="AR412" s="5"/>
    </row>
    <row r="413" ht="15.75" customHeight="1">
      <c r="A413" s="36"/>
      <c r="B413" s="37"/>
      <c r="C413" s="2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33"/>
      <c r="AL413" s="5"/>
      <c r="AM413" s="5"/>
      <c r="AN413" s="5"/>
      <c r="AO413" s="5"/>
      <c r="AP413" s="5"/>
      <c r="AQ413" s="5"/>
      <c r="AR413" s="5"/>
    </row>
    <row r="414" ht="15.75" customHeight="1">
      <c r="A414" s="36"/>
      <c r="B414" s="37"/>
      <c r="C414" s="2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33"/>
      <c r="AL414" s="5"/>
      <c r="AM414" s="5"/>
      <c r="AN414" s="5"/>
      <c r="AO414" s="5"/>
      <c r="AP414" s="5"/>
      <c r="AQ414" s="5"/>
      <c r="AR414" s="5"/>
    </row>
    <row r="415" ht="15.75" customHeight="1">
      <c r="A415" s="36"/>
      <c r="B415" s="37"/>
      <c r="C415" s="2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33"/>
      <c r="AL415" s="5"/>
      <c r="AM415" s="5"/>
      <c r="AN415" s="5"/>
      <c r="AO415" s="5"/>
      <c r="AP415" s="5"/>
      <c r="AQ415" s="5"/>
      <c r="AR415" s="5"/>
    </row>
    <row r="416" ht="15.75" customHeight="1">
      <c r="A416" s="36"/>
      <c r="B416" s="37"/>
      <c r="C416" s="2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33"/>
      <c r="AL416" s="5"/>
      <c r="AM416" s="5"/>
      <c r="AN416" s="5"/>
      <c r="AO416" s="5"/>
      <c r="AP416" s="5"/>
      <c r="AQ416" s="5"/>
      <c r="AR416" s="5"/>
    </row>
    <row r="417" ht="15.75" customHeight="1">
      <c r="A417" s="36"/>
      <c r="B417" s="37"/>
      <c r="C417" s="2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33"/>
      <c r="AL417" s="5"/>
      <c r="AM417" s="5"/>
      <c r="AN417" s="5"/>
      <c r="AO417" s="5"/>
      <c r="AP417" s="5"/>
      <c r="AQ417" s="5"/>
      <c r="AR417" s="5"/>
    </row>
    <row r="418" ht="15.75" customHeight="1">
      <c r="A418" s="36"/>
      <c r="B418" s="37"/>
      <c r="C418" s="2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33"/>
      <c r="AL418" s="5"/>
      <c r="AM418" s="5"/>
      <c r="AN418" s="5"/>
      <c r="AO418" s="5"/>
      <c r="AP418" s="5"/>
      <c r="AQ418" s="5"/>
      <c r="AR418" s="5"/>
    </row>
    <row r="419" ht="15.75" customHeight="1">
      <c r="A419" s="36"/>
      <c r="B419" s="37"/>
      <c r="C419" s="2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33"/>
      <c r="AL419" s="5"/>
      <c r="AM419" s="5"/>
      <c r="AN419" s="5"/>
      <c r="AO419" s="5"/>
      <c r="AP419" s="5"/>
      <c r="AQ419" s="5"/>
      <c r="AR419" s="5"/>
    </row>
    <row r="420" ht="15.75" customHeight="1">
      <c r="A420" s="36"/>
      <c r="B420" s="37"/>
      <c r="C420" s="2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33"/>
      <c r="AL420" s="5"/>
      <c r="AM420" s="5"/>
      <c r="AN420" s="5"/>
      <c r="AO420" s="5"/>
      <c r="AP420" s="5"/>
      <c r="AQ420" s="5"/>
      <c r="AR420" s="5"/>
    </row>
    <row r="421" ht="15.75" customHeight="1">
      <c r="A421" s="36"/>
      <c r="B421" s="37"/>
      <c r="C421" s="2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33"/>
      <c r="AL421" s="5"/>
      <c r="AM421" s="5"/>
      <c r="AN421" s="5"/>
      <c r="AO421" s="5"/>
      <c r="AP421" s="5"/>
      <c r="AQ421" s="5"/>
      <c r="AR421" s="5"/>
    </row>
    <row r="422" ht="15.75" customHeight="1">
      <c r="A422" s="36"/>
      <c r="B422" s="37"/>
      <c r="C422" s="2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33"/>
      <c r="AL422" s="5"/>
      <c r="AM422" s="5"/>
      <c r="AN422" s="5"/>
      <c r="AO422" s="5"/>
      <c r="AP422" s="5"/>
      <c r="AQ422" s="5"/>
      <c r="AR422" s="5"/>
    </row>
    <row r="423" ht="15.75" customHeight="1">
      <c r="A423" s="36"/>
      <c r="B423" s="37"/>
      <c r="C423" s="2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33"/>
      <c r="AL423" s="5"/>
      <c r="AM423" s="5"/>
      <c r="AN423" s="5"/>
      <c r="AO423" s="5"/>
      <c r="AP423" s="5"/>
      <c r="AQ423" s="5"/>
      <c r="AR423" s="5"/>
    </row>
    <row r="424" ht="15.75" customHeight="1">
      <c r="A424" s="36"/>
      <c r="B424" s="37"/>
      <c r="C424" s="2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33"/>
      <c r="AL424" s="5"/>
      <c r="AM424" s="5"/>
      <c r="AN424" s="5"/>
      <c r="AO424" s="5"/>
      <c r="AP424" s="5"/>
      <c r="AQ424" s="5"/>
      <c r="AR424" s="5"/>
    </row>
    <row r="425" ht="15.75" customHeight="1">
      <c r="A425" s="36"/>
      <c r="B425" s="37"/>
      <c r="C425" s="2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33"/>
      <c r="AL425" s="5"/>
      <c r="AM425" s="5"/>
      <c r="AN425" s="5"/>
      <c r="AO425" s="5"/>
      <c r="AP425" s="5"/>
      <c r="AQ425" s="5"/>
      <c r="AR425" s="5"/>
    </row>
    <row r="426" ht="15.75" customHeight="1">
      <c r="A426" s="36"/>
      <c r="B426" s="37"/>
      <c r="C426" s="2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33"/>
      <c r="AL426" s="5"/>
      <c r="AM426" s="5"/>
      <c r="AN426" s="5"/>
      <c r="AO426" s="5"/>
      <c r="AP426" s="5"/>
      <c r="AQ426" s="5"/>
      <c r="AR426" s="5"/>
    </row>
    <row r="427" ht="15.75" customHeight="1">
      <c r="A427" s="36"/>
      <c r="B427" s="37"/>
      <c r="C427" s="2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33"/>
      <c r="AL427" s="5"/>
      <c r="AM427" s="5"/>
      <c r="AN427" s="5"/>
      <c r="AO427" s="5"/>
      <c r="AP427" s="5"/>
      <c r="AQ427" s="5"/>
      <c r="AR427" s="5"/>
    </row>
    <row r="428" ht="15.75" customHeight="1">
      <c r="A428" s="36"/>
      <c r="B428" s="37"/>
      <c r="C428" s="2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33"/>
      <c r="AL428" s="5"/>
      <c r="AM428" s="5"/>
      <c r="AN428" s="5"/>
      <c r="AO428" s="5"/>
      <c r="AP428" s="5"/>
      <c r="AQ428" s="5"/>
      <c r="AR428" s="5"/>
    </row>
    <row r="429" ht="15.75" customHeight="1">
      <c r="A429" s="36"/>
      <c r="B429" s="37"/>
      <c r="C429" s="2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33"/>
      <c r="AL429" s="5"/>
      <c r="AM429" s="5"/>
      <c r="AN429" s="5"/>
      <c r="AO429" s="5"/>
      <c r="AP429" s="5"/>
      <c r="AQ429" s="5"/>
      <c r="AR429" s="5"/>
    </row>
    <row r="430" ht="15.75" customHeight="1">
      <c r="A430" s="36"/>
      <c r="B430" s="37"/>
      <c r="C430" s="2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33"/>
      <c r="AL430" s="5"/>
      <c r="AM430" s="5"/>
      <c r="AN430" s="5"/>
      <c r="AO430" s="5"/>
      <c r="AP430" s="5"/>
      <c r="AQ430" s="5"/>
      <c r="AR430" s="5"/>
    </row>
    <row r="431" ht="15.75" customHeight="1">
      <c r="A431" s="36"/>
      <c r="B431" s="37"/>
      <c r="C431" s="2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33"/>
      <c r="AL431" s="5"/>
      <c r="AM431" s="5"/>
      <c r="AN431" s="5"/>
      <c r="AO431" s="5"/>
      <c r="AP431" s="5"/>
      <c r="AQ431" s="5"/>
      <c r="AR431" s="5"/>
    </row>
    <row r="432" ht="15.75" customHeight="1">
      <c r="A432" s="36"/>
      <c r="B432" s="37"/>
      <c r="C432" s="2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33"/>
      <c r="AL432" s="5"/>
      <c r="AM432" s="5"/>
      <c r="AN432" s="5"/>
      <c r="AO432" s="5"/>
      <c r="AP432" s="5"/>
      <c r="AQ432" s="5"/>
      <c r="AR432" s="5"/>
    </row>
    <row r="433" ht="15.75" customHeight="1">
      <c r="A433" s="36"/>
      <c r="B433" s="37"/>
      <c r="C433" s="2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33"/>
      <c r="AL433" s="5"/>
      <c r="AM433" s="5"/>
      <c r="AN433" s="5"/>
      <c r="AO433" s="5"/>
      <c r="AP433" s="5"/>
      <c r="AQ433" s="5"/>
      <c r="AR433" s="5"/>
    </row>
    <row r="434" ht="15.75" customHeight="1">
      <c r="A434" s="36"/>
      <c r="B434" s="37"/>
      <c r="C434" s="2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33"/>
      <c r="AL434" s="5"/>
      <c r="AM434" s="5"/>
      <c r="AN434" s="5"/>
      <c r="AO434" s="5"/>
      <c r="AP434" s="5"/>
      <c r="AQ434" s="5"/>
      <c r="AR434" s="5"/>
    </row>
    <row r="435" ht="15.75" customHeight="1">
      <c r="A435" s="36"/>
      <c r="B435" s="37"/>
      <c r="C435" s="2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33"/>
      <c r="AL435" s="5"/>
      <c r="AM435" s="5"/>
      <c r="AN435" s="5"/>
      <c r="AO435" s="5"/>
      <c r="AP435" s="5"/>
      <c r="AQ435" s="5"/>
      <c r="AR435" s="5"/>
    </row>
    <row r="436" ht="15.75" customHeight="1">
      <c r="A436" s="36"/>
      <c r="B436" s="37"/>
      <c r="C436" s="2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33"/>
      <c r="AL436" s="5"/>
      <c r="AM436" s="5"/>
      <c r="AN436" s="5"/>
      <c r="AO436" s="5"/>
      <c r="AP436" s="5"/>
      <c r="AQ436" s="5"/>
      <c r="AR436" s="5"/>
    </row>
    <row r="437" ht="15.75" customHeight="1">
      <c r="A437" s="36"/>
      <c r="B437" s="37"/>
      <c r="C437" s="2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33"/>
      <c r="AL437" s="5"/>
      <c r="AM437" s="5"/>
      <c r="AN437" s="5"/>
      <c r="AO437" s="5"/>
      <c r="AP437" s="5"/>
      <c r="AQ437" s="5"/>
      <c r="AR437" s="5"/>
    </row>
    <row r="438" ht="15.75" customHeight="1">
      <c r="A438" s="36"/>
      <c r="B438" s="37"/>
      <c r="C438" s="2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33"/>
      <c r="AL438" s="5"/>
      <c r="AM438" s="5"/>
      <c r="AN438" s="5"/>
      <c r="AO438" s="5"/>
      <c r="AP438" s="5"/>
      <c r="AQ438" s="5"/>
      <c r="AR438" s="5"/>
    </row>
    <row r="439" ht="15.75" customHeight="1">
      <c r="A439" s="36"/>
      <c r="B439" s="37"/>
      <c r="C439" s="2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33"/>
      <c r="AL439" s="5"/>
      <c r="AM439" s="5"/>
      <c r="AN439" s="5"/>
      <c r="AO439" s="5"/>
      <c r="AP439" s="5"/>
      <c r="AQ439" s="5"/>
      <c r="AR439" s="5"/>
    </row>
    <row r="440" ht="15.75" customHeight="1">
      <c r="A440" s="36"/>
      <c r="B440" s="37"/>
      <c r="C440" s="2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33"/>
      <c r="AL440" s="5"/>
      <c r="AM440" s="5"/>
      <c r="AN440" s="5"/>
      <c r="AO440" s="5"/>
      <c r="AP440" s="5"/>
      <c r="AQ440" s="5"/>
      <c r="AR440" s="5"/>
    </row>
    <row r="441" ht="15.75" customHeight="1">
      <c r="A441" s="36"/>
      <c r="B441" s="37"/>
      <c r="C441" s="2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33"/>
      <c r="AL441" s="5"/>
      <c r="AM441" s="5"/>
      <c r="AN441" s="5"/>
      <c r="AO441" s="5"/>
      <c r="AP441" s="5"/>
      <c r="AQ441" s="5"/>
      <c r="AR441" s="5"/>
    </row>
    <row r="442" ht="15.75" customHeight="1">
      <c r="A442" s="36"/>
      <c r="B442" s="37"/>
      <c r="C442" s="2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33"/>
      <c r="AL442" s="5"/>
      <c r="AM442" s="5"/>
      <c r="AN442" s="5"/>
      <c r="AO442" s="5"/>
      <c r="AP442" s="5"/>
      <c r="AQ442" s="5"/>
      <c r="AR442" s="5"/>
    </row>
    <row r="443" ht="15.75" customHeight="1">
      <c r="A443" s="36"/>
      <c r="B443" s="37"/>
      <c r="C443" s="2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33"/>
      <c r="AL443" s="5"/>
      <c r="AM443" s="5"/>
      <c r="AN443" s="5"/>
      <c r="AO443" s="5"/>
      <c r="AP443" s="5"/>
      <c r="AQ443" s="5"/>
      <c r="AR443" s="5"/>
    </row>
    <row r="444" ht="15.75" customHeight="1">
      <c r="A444" s="36"/>
      <c r="B444" s="37"/>
      <c r="C444" s="2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33"/>
      <c r="AL444" s="5"/>
      <c r="AM444" s="5"/>
      <c r="AN444" s="5"/>
      <c r="AO444" s="5"/>
      <c r="AP444" s="5"/>
      <c r="AQ444" s="5"/>
      <c r="AR444" s="5"/>
    </row>
    <row r="445" ht="15.75" customHeight="1">
      <c r="A445" s="36"/>
      <c r="B445" s="37"/>
      <c r="C445" s="2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33"/>
      <c r="AL445" s="5"/>
      <c r="AM445" s="5"/>
      <c r="AN445" s="5"/>
      <c r="AO445" s="5"/>
      <c r="AP445" s="5"/>
      <c r="AQ445" s="5"/>
      <c r="AR445" s="5"/>
    </row>
    <row r="446" ht="15.75" customHeight="1">
      <c r="A446" s="36"/>
      <c r="B446" s="37"/>
      <c r="C446" s="2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33"/>
      <c r="AL446" s="5"/>
      <c r="AM446" s="5"/>
      <c r="AN446" s="5"/>
      <c r="AO446" s="5"/>
      <c r="AP446" s="5"/>
      <c r="AQ446" s="5"/>
      <c r="AR446" s="5"/>
    </row>
    <row r="447" ht="15.75" customHeight="1">
      <c r="A447" s="36"/>
      <c r="B447" s="37"/>
      <c r="C447" s="2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33"/>
      <c r="AL447" s="5"/>
      <c r="AM447" s="5"/>
      <c r="AN447" s="5"/>
      <c r="AO447" s="5"/>
      <c r="AP447" s="5"/>
      <c r="AQ447" s="5"/>
      <c r="AR447" s="5"/>
    </row>
    <row r="448" ht="15.75" customHeight="1">
      <c r="A448" s="36"/>
      <c r="B448" s="37"/>
      <c r="C448" s="2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33"/>
      <c r="AL448" s="5"/>
      <c r="AM448" s="5"/>
      <c r="AN448" s="5"/>
      <c r="AO448" s="5"/>
      <c r="AP448" s="5"/>
      <c r="AQ448" s="5"/>
      <c r="AR448" s="5"/>
    </row>
    <row r="449" ht="15.75" customHeight="1">
      <c r="A449" s="36"/>
      <c r="B449" s="37"/>
      <c r="C449" s="2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33"/>
      <c r="AL449" s="5"/>
      <c r="AM449" s="5"/>
      <c r="AN449" s="5"/>
      <c r="AO449" s="5"/>
      <c r="AP449" s="5"/>
      <c r="AQ449" s="5"/>
      <c r="AR449" s="5"/>
    </row>
    <row r="450" ht="15.75" customHeight="1">
      <c r="A450" s="36"/>
      <c r="B450" s="37"/>
      <c r="C450" s="2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33"/>
      <c r="AL450" s="5"/>
      <c r="AM450" s="5"/>
      <c r="AN450" s="5"/>
      <c r="AO450" s="5"/>
      <c r="AP450" s="5"/>
      <c r="AQ450" s="5"/>
      <c r="AR450" s="5"/>
    </row>
    <row r="451" ht="15.75" customHeight="1">
      <c r="A451" s="36"/>
      <c r="B451" s="37"/>
      <c r="C451" s="2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33"/>
      <c r="AL451" s="5"/>
      <c r="AM451" s="5"/>
      <c r="AN451" s="5"/>
      <c r="AO451" s="5"/>
      <c r="AP451" s="5"/>
      <c r="AQ451" s="5"/>
      <c r="AR451" s="5"/>
    </row>
    <row r="452" ht="15.75" customHeight="1">
      <c r="A452" s="36"/>
      <c r="B452" s="37"/>
      <c r="C452" s="2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33"/>
      <c r="AL452" s="5"/>
      <c r="AM452" s="5"/>
      <c r="AN452" s="5"/>
      <c r="AO452" s="5"/>
      <c r="AP452" s="5"/>
      <c r="AQ452" s="5"/>
      <c r="AR452" s="5"/>
    </row>
    <row r="453" ht="15.75" customHeight="1">
      <c r="A453" s="36"/>
      <c r="B453" s="37"/>
      <c r="C453" s="2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33"/>
      <c r="AL453" s="5"/>
      <c r="AM453" s="5"/>
      <c r="AN453" s="5"/>
      <c r="AO453" s="5"/>
      <c r="AP453" s="5"/>
      <c r="AQ453" s="5"/>
      <c r="AR453" s="5"/>
    </row>
    <row r="454" ht="15.75" customHeight="1">
      <c r="A454" s="36"/>
      <c r="B454" s="37"/>
      <c r="C454" s="2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33"/>
      <c r="AL454" s="5"/>
      <c r="AM454" s="5"/>
      <c r="AN454" s="5"/>
      <c r="AO454" s="5"/>
      <c r="AP454" s="5"/>
      <c r="AQ454" s="5"/>
      <c r="AR454" s="5"/>
    </row>
    <row r="455" ht="15.75" customHeight="1">
      <c r="A455" s="36"/>
      <c r="B455" s="37"/>
      <c r="C455" s="2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33"/>
      <c r="AL455" s="5"/>
      <c r="AM455" s="5"/>
      <c r="AN455" s="5"/>
      <c r="AO455" s="5"/>
      <c r="AP455" s="5"/>
      <c r="AQ455" s="5"/>
      <c r="AR455" s="5"/>
    </row>
    <row r="456" ht="15.75" customHeight="1">
      <c r="A456" s="36"/>
      <c r="B456" s="37"/>
      <c r="C456" s="2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33"/>
      <c r="AL456" s="5"/>
      <c r="AM456" s="5"/>
      <c r="AN456" s="5"/>
      <c r="AO456" s="5"/>
      <c r="AP456" s="5"/>
      <c r="AQ456" s="5"/>
      <c r="AR456" s="5"/>
    </row>
    <row r="457" ht="15.75" customHeight="1">
      <c r="A457" s="36"/>
      <c r="B457" s="37"/>
      <c r="C457" s="2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33"/>
      <c r="AL457" s="5"/>
      <c r="AM457" s="5"/>
      <c r="AN457" s="5"/>
      <c r="AO457" s="5"/>
      <c r="AP457" s="5"/>
      <c r="AQ457" s="5"/>
      <c r="AR457" s="5"/>
    </row>
    <row r="458" ht="15.75" customHeight="1">
      <c r="A458" s="36"/>
      <c r="B458" s="37"/>
      <c r="C458" s="2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33"/>
      <c r="AL458" s="5"/>
      <c r="AM458" s="5"/>
      <c r="AN458" s="5"/>
      <c r="AO458" s="5"/>
      <c r="AP458" s="5"/>
      <c r="AQ458" s="5"/>
      <c r="AR458" s="5"/>
    </row>
    <row r="459" ht="15.75" customHeight="1">
      <c r="A459" s="36"/>
      <c r="B459" s="37"/>
      <c r="C459" s="2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33"/>
      <c r="AL459" s="5"/>
      <c r="AM459" s="5"/>
      <c r="AN459" s="5"/>
      <c r="AO459" s="5"/>
      <c r="AP459" s="5"/>
      <c r="AQ459" s="5"/>
      <c r="AR459" s="5"/>
    </row>
    <row r="460" ht="15.75" customHeight="1">
      <c r="A460" s="36"/>
      <c r="B460" s="37"/>
      <c r="C460" s="2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33"/>
      <c r="AL460" s="5"/>
      <c r="AM460" s="5"/>
      <c r="AN460" s="5"/>
      <c r="AO460" s="5"/>
      <c r="AP460" s="5"/>
      <c r="AQ460" s="5"/>
      <c r="AR460" s="5"/>
    </row>
    <row r="461" ht="15.75" customHeight="1">
      <c r="A461" s="36"/>
      <c r="B461" s="37"/>
      <c r="C461" s="2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33"/>
      <c r="AL461" s="5"/>
      <c r="AM461" s="5"/>
      <c r="AN461" s="5"/>
      <c r="AO461" s="5"/>
      <c r="AP461" s="5"/>
      <c r="AQ461" s="5"/>
      <c r="AR461" s="5"/>
    </row>
    <row r="462" ht="15.75" customHeight="1">
      <c r="A462" s="36"/>
      <c r="B462" s="37"/>
      <c r="C462" s="2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33"/>
      <c r="AL462" s="5"/>
      <c r="AM462" s="5"/>
      <c r="AN462" s="5"/>
      <c r="AO462" s="5"/>
      <c r="AP462" s="5"/>
      <c r="AQ462" s="5"/>
      <c r="AR462" s="5"/>
    </row>
    <row r="463" ht="15.75" customHeight="1">
      <c r="A463" s="36"/>
      <c r="B463" s="37"/>
      <c r="C463" s="2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33"/>
      <c r="AL463" s="5"/>
      <c r="AM463" s="5"/>
      <c r="AN463" s="5"/>
      <c r="AO463" s="5"/>
      <c r="AP463" s="5"/>
      <c r="AQ463" s="5"/>
      <c r="AR463" s="5"/>
    </row>
    <row r="464" ht="15.75" customHeight="1">
      <c r="A464" s="36"/>
      <c r="B464" s="37"/>
      <c r="C464" s="2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33"/>
      <c r="AL464" s="5"/>
      <c r="AM464" s="5"/>
      <c r="AN464" s="5"/>
      <c r="AO464" s="5"/>
      <c r="AP464" s="5"/>
      <c r="AQ464" s="5"/>
      <c r="AR464" s="5"/>
    </row>
    <row r="465" ht="15.75" customHeight="1">
      <c r="A465" s="36"/>
      <c r="B465" s="37"/>
      <c r="C465" s="2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33"/>
      <c r="AL465" s="5"/>
      <c r="AM465" s="5"/>
      <c r="AN465" s="5"/>
      <c r="AO465" s="5"/>
      <c r="AP465" s="5"/>
      <c r="AQ465" s="5"/>
      <c r="AR465" s="5"/>
    </row>
    <row r="466" ht="15.75" customHeight="1">
      <c r="A466" s="36"/>
      <c r="B466" s="37"/>
      <c r="C466" s="2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33"/>
      <c r="AL466" s="5"/>
      <c r="AM466" s="5"/>
      <c r="AN466" s="5"/>
      <c r="AO466" s="5"/>
      <c r="AP466" s="5"/>
      <c r="AQ466" s="5"/>
      <c r="AR466" s="5"/>
    </row>
    <row r="467" ht="15.75" customHeight="1">
      <c r="A467" s="36"/>
      <c r="B467" s="37"/>
      <c r="C467" s="2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33"/>
      <c r="AL467" s="5"/>
      <c r="AM467" s="5"/>
      <c r="AN467" s="5"/>
      <c r="AO467" s="5"/>
      <c r="AP467" s="5"/>
      <c r="AQ467" s="5"/>
      <c r="AR467" s="5"/>
    </row>
    <row r="468" ht="15.75" customHeight="1">
      <c r="A468" s="36"/>
      <c r="B468" s="37"/>
      <c r="C468" s="2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33"/>
      <c r="AL468" s="5"/>
      <c r="AM468" s="5"/>
      <c r="AN468" s="5"/>
      <c r="AO468" s="5"/>
      <c r="AP468" s="5"/>
      <c r="AQ468" s="5"/>
      <c r="AR468" s="5"/>
    </row>
    <row r="469" ht="15.75" customHeight="1">
      <c r="A469" s="36"/>
      <c r="B469" s="37"/>
      <c r="C469" s="2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33"/>
      <c r="AL469" s="5"/>
      <c r="AM469" s="5"/>
      <c r="AN469" s="5"/>
      <c r="AO469" s="5"/>
      <c r="AP469" s="5"/>
      <c r="AQ469" s="5"/>
      <c r="AR469" s="5"/>
    </row>
    <row r="470" ht="15.75" customHeight="1">
      <c r="A470" s="36"/>
      <c r="B470" s="37"/>
      <c r="C470" s="2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33"/>
      <c r="AL470" s="5"/>
      <c r="AM470" s="5"/>
      <c r="AN470" s="5"/>
      <c r="AO470" s="5"/>
      <c r="AP470" s="5"/>
      <c r="AQ470" s="5"/>
      <c r="AR470" s="5"/>
    </row>
    <row r="471" ht="15.75" customHeight="1">
      <c r="A471" s="36"/>
      <c r="B471" s="37"/>
      <c r="C471" s="2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33"/>
      <c r="AL471" s="5"/>
      <c r="AM471" s="5"/>
      <c r="AN471" s="5"/>
      <c r="AO471" s="5"/>
      <c r="AP471" s="5"/>
      <c r="AQ471" s="5"/>
      <c r="AR471" s="5"/>
    </row>
    <row r="472" ht="15.75" customHeight="1">
      <c r="A472" s="36"/>
      <c r="B472" s="37"/>
      <c r="C472" s="2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33"/>
      <c r="AL472" s="5"/>
      <c r="AM472" s="5"/>
      <c r="AN472" s="5"/>
      <c r="AO472" s="5"/>
      <c r="AP472" s="5"/>
      <c r="AQ472" s="5"/>
      <c r="AR472" s="5"/>
    </row>
    <row r="473" ht="15.75" customHeight="1">
      <c r="A473" s="36"/>
      <c r="B473" s="37"/>
      <c r="C473" s="2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33"/>
      <c r="AL473" s="5"/>
      <c r="AM473" s="5"/>
      <c r="AN473" s="5"/>
      <c r="AO473" s="5"/>
      <c r="AP473" s="5"/>
      <c r="AQ473" s="5"/>
      <c r="AR473" s="5"/>
    </row>
    <row r="474" ht="15.75" customHeight="1">
      <c r="A474" s="36"/>
      <c r="B474" s="37"/>
      <c r="C474" s="2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33"/>
      <c r="AL474" s="5"/>
      <c r="AM474" s="5"/>
      <c r="AN474" s="5"/>
      <c r="AO474" s="5"/>
      <c r="AP474" s="5"/>
      <c r="AQ474" s="5"/>
      <c r="AR474" s="5"/>
    </row>
    <row r="475" ht="15.75" customHeight="1">
      <c r="A475" s="36"/>
      <c r="B475" s="37"/>
      <c r="C475" s="2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33"/>
      <c r="AL475" s="5"/>
      <c r="AM475" s="5"/>
      <c r="AN475" s="5"/>
      <c r="AO475" s="5"/>
      <c r="AP475" s="5"/>
      <c r="AQ475" s="5"/>
      <c r="AR475" s="5"/>
    </row>
    <row r="476" ht="15.75" customHeight="1">
      <c r="A476" s="36"/>
      <c r="B476" s="37"/>
      <c r="C476" s="2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33"/>
      <c r="AL476" s="5"/>
      <c r="AM476" s="5"/>
      <c r="AN476" s="5"/>
      <c r="AO476" s="5"/>
      <c r="AP476" s="5"/>
      <c r="AQ476" s="5"/>
      <c r="AR476" s="5"/>
    </row>
    <row r="477" ht="15.75" customHeight="1">
      <c r="A477" s="36"/>
      <c r="B477" s="37"/>
      <c r="C477" s="2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33"/>
      <c r="AL477" s="5"/>
      <c r="AM477" s="5"/>
      <c r="AN477" s="5"/>
      <c r="AO477" s="5"/>
      <c r="AP477" s="5"/>
      <c r="AQ477" s="5"/>
      <c r="AR477" s="5"/>
    </row>
    <row r="478" ht="15.75" customHeight="1">
      <c r="A478" s="36"/>
      <c r="B478" s="37"/>
      <c r="C478" s="2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33"/>
      <c r="AL478" s="5"/>
      <c r="AM478" s="5"/>
      <c r="AN478" s="5"/>
      <c r="AO478" s="5"/>
      <c r="AP478" s="5"/>
      <c r="AQ478" s="5"/>
      <c r="AR478" s="5"/>
    </row>
    <row r="479" ht="15.75" customHeight="1">
      <c r="A479" s="36"/>
      <c r="B479" s="37"/>
      <c r="C479" s="2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33"/>
      <c r="AL479" s="5"/>
      <c r="AM479" s="5"/>
      <c r="AN479" s="5"/>
      <c r="AO479" s="5"/>
      <c r="AP479" s="5"/>
      <c r="AQ479" s="5"/>
      <c r="AR479" s="5"/>
    </row>
    <row r="480" ht="15.75" customHeight="1">
      <c r="A480" s="36"/>
      <c r="B480" s="37"/>
      <c r="C480" s="2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33"/>
      <c r="AL480" s="5"/>
      <c r="AM480" s="5"/>
      <c r="AN480" s="5"/>
      <c r="AO480" s="5"/>
      <c r="AP480" s="5"/>
      <c r="AQ480" s="5"/>
      <c r="AR480" s="5"/>
    </row>
    <row r="481" ht="15.75" customHeight="1">
      <c r="A481" s="36"/>
      <c r="B481" s="37"/>
      <c r="C481" s="2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33"/>
      <c r="AL481" s="5"/>
      <c r="AM481" s="5"/>
      <c r="AN481" s="5"/>
      <c r="AO481" s="5"/>
      <c r="AP481" s="5"/>
      <c r="AQ481" s="5"/>
      <c r="AR481" s="5"/>
    </row>
    <row r="482" ht="15.75" customHeight="1">
      <c r="A482" s="36"/>
      <c r="B482" s="37"/>
      <c r="C482" s="2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33"/>
      <c r="AL482" s="5"/>
      <c r="AM482" s="5"/>
      <c r="AN482" s="5"/>
      <c r="AO482" s="5"/>
      <c r="AP482" s="5"/>
      <c r="AQ482" s="5"/>
      <c r="AR482" s="5"/>
    </row>
    <row r="483" ht="15.75" customHeight="1">
      <c r="A483" s="36"/>
      <c r="B483" s="37"/>
      <c r="C483" s="2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33"/>
      <c r="AL483" s="5"/>
      <c r="AM483" s="5"/>
      <c r="AN483" s="5"/>
      <c r="AO483" s="5"/>
      <c r="AP483" s="5"/>
      <c r="AQ483" s="5"/>
      <c r="AR483" s="5"/>
    </row>
    <row r="484" ht="15.75" customHeight="1">
      <c r="A484" s="36"/>
      <c r="B484" s="37"/>
      <c r="C484" s="2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33"/>
      <c r="AL484" s="5"/>
      <c r="AM484" s="5"/>
      <c r="AN484" s="5"/>
      <c r="AO484" s="5"/>
      <c r="AP484" s="5"/>
      <c r="AQ484" s="5"/>
      <c r="AR484" s="5"/>
    </row>
    <row r="485" ht="15.75" customHeight="1">
      <c r="A485" s="36"/>
      <c r="B485" s="37"/>
      <c r="C485" s="2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33"/>
      <c r="AL485" s="5"/>
      <c r="AM485" s="5"/>
      <c r="AN485" s="5"/>
      <c r="AO485" s="5"/>
      <c r="AP485" s="5"/>
      <c r="AQ485" s="5"/>
      <c r="AR485" s="5"/>
    </row>
    <row r="486" ht="15.75" customHeight="1">
      <c r="A486" s="36"/>
      <c r="B486" s="37"/>
      <c r="C486" s="2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33"/>
      <c r="AL486" s="5"/>
      <c r="AM486" s="5"/>
      <c r="AN486" s="5"/>
      <c r="AO486" s="5"/>
      <c r="AP486" s="5"/>
      <c r="AQ486" s="5"/>
      <c r="AR486" s="5"/>
    </row>
    <row r="487" ht="15.75" customHeight="1">
      <c r="A487" s="36"/>
      <c r="B487" s="37"/>
      <c r="C487" s="2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33"/>
      <c r="AL487" s="5"/>
      <c r="AM487" s="5"/>
      <c r="AN487" s="5"/>
      <c r="AO487" s="5"/>
      <c r="AP487" s="5"/>
      <c r="AQ487" s="5"/>
      <c r="AR487" s="5"/>
    </row>
    <row r="488" ht="15.75" customHeight="1">
      <c r="A488" s="36"/>
      <c r="B488" s="37"/>
      <c r="C488" s="2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33"/>
      <c r="AL488" s="5"/>
      <c r="AM488" s="5"/>
      <c r="AN488" s="5"/>
      <c r="AO488" s="5"/>
      <c r="AP488" s="5"/>
      <c r="AQ488" s="5"/>
      <c r="AR488" s="5"/>
    </row>
    <row r="489" ht="15.75" customHeight="1">
      <c r="A489" s="36"/>
      <c r="B489" s="37"/>
      <c r="C489" s="2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33"/>
      <c r="AL489" s="5"/>
      <c r="AM489" s="5"/>
      <c r="AN489" s="5"/>
      <c r="AO489" s="5"/>
      <c r="AP489" s="5"/>
      <c r="AQ489" s="5"/>
      <c r="AR489" s="5"/>
    </row>
    <row r="490" ht="15.75" customHeight="1">
      <c r="A490" s="36"/>
      <c r="B490" s="37"/>
      <c r="C490" s="2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33"/>
      <c r="AL490" s="5"/>
      <c r="AM490" s="5"/>
      <c r="AN490" s="5"/>
      <c r="AO490" s="5"/>
      <c r="AP490" s="5"/>
      <c r="AQ490" s="5"/>
      <c r="AR490" s="5"/>
    </row>
    <row r="491" ht="15.75" customHeight="1">
      <c r="A491" s="36"/>
      <c r="B491" s="37"/>
      <c r="C491" s="2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33"/>
      <c r="AL491" s="5"/>
      <c r="AM491" s="5"/>
      <c r="AN491" s="5"/>
      <c r="AO491" s="5"/>
      <c r="AP491" s="5"/>
      <c r="AQ491" s="5"/>
      <c r="AR491" s="5"/>
    </row>
    <row r="492" ht="15.75" customHeight="1">
      <c r="A492" s="36"/>
      <c r="B492" s="37"/>
      <c r="C492" s="2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33"/>
      <c r="AL492" s="5"/>
      <c r="AM492" s="5"/>
      <c r="AN492" s="5"/>
      <c r="AO492" s="5"/>
      <c r="AP492" s="5"/>
      <c r="AQ492" s="5"/>
      <c r="AR492" s="5"/>
    </row>
    <row r="493" ht="15.75" customHeight="1">
      <c r="A493" s="36"/>
      <c r="B493" s="37"/>
      <c r="C493" s="2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33"/>
      <c r="AL493" s="5"/>
      <c r="AM493" s="5"/>
      <c r="AN493" s="5"/>
      <c r="AO493" s="5"/>
      <c r="AP493" s="5"/>
      <c r="AQ493" s="5"/>
      <c r="AR493" s="5"/>
    </row>
    <row r="494" ht="15.75" customHeight="1">
      <c r="A494" s="36"/>
      <c r="B494" s="37"/>
      <c r="C494" s="2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33"/>
      <c r="AL494" s="5"/>
      <c r="AM494" s="5"/>
      <c r="AN494" s="5"/>
      <c r="AO494" s="5"/>
      <c r="AP494" s="5"/>
      <c r="AQ494" s="5"/>
      <c r="AR494" s="5"/>
    </row>
    <row r="495" ht="15.75" customHeight="1">
      <c r="A495" s="36"/>
      <c r="B495" s="37"/>
      <c r="C495" s="2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33"/>
      <c r="AL495" s="5"/>
      <c r="AM495" s="5"/>
      <c r="AN495" s="5"/>
      <c r="AO495" s="5"/>
      <c r="AP495" s="5"/>
      <c r="AQ495" s="5"/>
      <c r="AR495" s="5"/>
    </row>
    <row r="496" ht="15.75" customHeight="1">
      <c r="A496" s="36"/>
      <c r="B496" s="37"/>
      <c r="C496" s="2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33"/>
      <c r="AL496" s="5"/>
      <c r="AM496" s="5"/>
      <c r="AN496" s="5"/>
      <c r="AO496" s="5"/>
      <c r="AP496" s="5"/>
      <c r="AQ496" s="5"/>
      <c r="AR496" s="5"/>
    </row>
    <row r="497" ht="15.75" customHeight="1">
      <c r="A497" s="36"/>
      <c r="B497" s="37"/>
      <c r="C497" s="2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33"/>
      <c r="AL497" s="5"/>
      <c r="AM497" s="5"/>
      <c r="AN497" s="5"/>
      <c r="AO497" s="5"/>
      <c r="AP497" s="5"/>
      <c r="AQ497" s="5"/>
      <c r="AR497" s="5"/>
    </row>
    <row r="498" ht="15.75" customHeight="1">
      <c r="A498" s="36"/>
      <c r="B498" s="37"/>
      <c r="C498" s="2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33"/>
      <c r="AL498" s="5"/>
      <c r="AM498" s="5"/>
      <c r="AN498" s="5"/>
      <c r="AO498" s="5"/>
      <c r="AP498" s="5"/>
      <c r="AQ498" s="5"/>
      <c r="AR498" s="5"/>
    </row>
    <row r="499" ht="15.75" customHeight="1">
      <c r="A499" s="36"/>
      <c r="B499" s="37"/>
      <c r="C499" s="2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33"/>
      <c r="AL499" s="5"/>
      <c r="AM499" s="5"/>
      <c r="AN499" s="5"/>
      <c r="AO499" s="5"/>
      <c r="AP499" s="5"/>
      <c r="AQ499" s="5"/>
      <c r="AR499" s="5"/>
    </row>
    <row r="500" ht="15.75" customHeight="1">
      <c r="A500" s="36"/>
      <c r="B500" s="37"/>
      <c r="C500" s="2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33"/>
      <c r="AL500" s="5"/>
      <c r="AM500" s="5"/>
      <c r="AN500" s="5"/>
      <c r="AO500" s="5"/>
      <c r="AP500" s="5"/>
      <c r="AQ500" s="5"/>
      <c r="AR500" s="5"/>
    </row>
    <row r="501" ht="15.75" customHeight="1">
      <c r="A501" s="36"/>
      <c r="B501" s="37"/>
      <c r="C501" s="2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33"/>
      <c r="AL501" s="5"/>
      <c r="AM501" s="5"/>
      <c r="AN501" s="5"/>
      <c r="AO501" s="5"/>
      <c r="AP501" s="5"/>
      <c r="AQ501" s="5"/>
      <c r="AR501" s="5"/>
    </row>
    <row r="502" ht="15.75" customHeight="1">
      <c r="A502" s="36"/>
      <c r="B502" s="37"/>
      <c r="C502" s="2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33"/>
      <c r="AL502" s="5"/>
      <c r="AM502" s="5"/>
      <c r="AN502" s="5"/>
      <c r="AO502" s="5"/>
      <c r="AP502" s="5"/>
      <c r="AQ502" s="5"/>
      <c r="AR502" s="5"/>
    </row>
    <row r="503" ht="15.75" customHeight="1">
      <c r="A503" s="36"/>
      <c r="B503" s="37"/>
      <c r="C503" s="2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33"/>
      <c r="AL503" s="5"/>
      <c r="AM503" s="5"/>
      <c r="AN503" s="5"/>
      <c r="AO503" s="5"/>
      <c r="AP503" s="5"/>
      <c r="AQ503" s="5"/>
      <c r="AR503" s="5"/>
    </row>
    <row r="504" ht="15.75" customHeight="1">
      <c r="A504" s="36"/>
      <c r="B504" s="37"/>
      <c r="C504" s="2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33"/>
      <c r="AL504" s="5"/>
      <c r="AM504" s="5"/>
      <c r="AN504" s="5"/>
      <c r="AO504" s="5"/>
      <c r="AP504" s="5"/>
      <c r="AQ504" s="5"/>
      <c r="AR504" s="5"/>
    </row>
    <row r="505" ht="15.75" customHeight="1">
      <c r="A505" s="36"/>
      <c r="B505" s="37"/>
      <c r="C505" s="2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33"/>
      <c r="AL505" s="5"/>
      <c r="AM505" s="5"/>
      <c r="AN505" s="5"/>
      <c r="AO505" s="5"/>
      <c r="AP505" s="5"/>
      <c r="AQ505" s="5"/>
      <c r="AR505" s="5"/>
    </row>
    <row r="506" ht="15.75" customHeight="1">
      <c r="A506" s="36"/>
      <c r="B506" s="37"/>
      <c r="C506" s="2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33"/>
      <c r="AL506" s="5"/>
      <c r="AM506" s="5"/>
      <c r="AN506" s="5"/>
      <c r="AO506" s="5"/>
      <c r="AP506" s="5"/>
      <c r="AQ506" s="5"/>
      <c r="AR506" s="5"/>
    </row>
    <row r="507" ht="15.75" customHeight="1">
      <c r="A507" s="36"/>
      <c r="B507" s="37"/>
      <c r="C507" s="2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33"/>
      <c r="AL507" s="5"/>
      <c r="AM507" s="5"/>
      <c r="AN507" s="5"/>
      <c r="AO507" s="5"/>
      <c r="AP507" s="5"/>
      <c r="AQ507" s="5"/>
      <c r="AR507" s="5"/>
    </row>
    <row r="508" ht="15.75" customHeight="1">
      <c r="A508" s="36"/>
      <c r="B508" s="37"/>
      <c r="C508" s="2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33"/>
      <c r="AL508" s="5"/>
      <c r="AM508" s="5"/>
      <c r="AN508" s="5"/>
      <c r="AO508" s="5"/>
      <c r="AP508" s="5"/>
      <c r="AQ508" s="5"/>
      <c r="AR508" s="5"/>
    </row>
    <row r="509" ht="15.75" customHeight="1">
      <c r="A509" s="36"/>
      <c r="B509" s="37"/>
      <c r="C509" s="2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33"/>
      <c r="AL509" s="5"/>
      <c r="AM509" s="5"/>
      <c r="AN509" s="5"/>
      <c r="AO509" s="5"/>
      <c r="AP509" s="5"/>
      <c r="AQ509" s="5"/>
      <c r="AR509" s="5"/>
    </row>
    <row r="510" ht="15.75" customHeight="1">
      <c r="A510" s="36"/>
      <c r="B510" s="37"/>
      <c r="C510" s="2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33"/>
      <c r="AL510" s="5"/>
      <c r="AM510" s="5"/>
      <c r="AN510" s="5"/>
      <c r="AO510" s="5"/>
      <c r="AP510" s="5"/>
      <c r="AQ510" s="5"/>
      <c r="AR510" s="5"/>
    </row>
    <row r="511" ht="15.75" customHeight="1">
      <c r="A511" s="36"/>
      <c r="B511" s="37"/>
      <c r="C511" s="2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33"/>
      <c r="AL511" s="5"/>
      <c r="AM511" s="5"/>
      <c r="AN511" s="5"/>
      <c r="AO511" s="5"/>
      <c r="AP511" s="5"/>
      <c r="AQ511" s="5"/>
      <c r="AR511" s="5"/>
    </row>
    <row r="512" ht="15.75" customHeight="1">
      <c r="A512" s="36"/>
      <c r="B512" s="37"/>
      <c r="C512" s="2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33"/>
      <c r="AL512" s="5"/>
      <c r="AM512" s="5"/>
      <c r="AN512" s="5"/>
      <c r="AO512" s="5"/>
      <c r="AP512" s="5"/>
      <c r="AQ512" s="5"/>
      <c r="AR512" s="5"/>
    </row>
    <row r="513" ht="15.75" customHeight="1">
      <c r="A513" s="36"/>
      <c r="B513" s="37"/>
      <c r="C513" s="2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33"/>
      <c r="AL513" s="5"/>
      <c r="AM513" s="5"/>
      <c r="AN513" s="5"/>
      <c r="AO513" s="5"/>
      <c r="AP513" s="5"/>
      <c r="AQ513" s="5"/>
      <c r="AR513" s="5"/>
    </row>
    <row r="514" ht="15.75" customHeight="1">
      <c r="A514" s="36"/>
      <c r="B514" s="37"/>
      <c r="C514" s="2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33"/>
      <c r="AL514" s="5"/>
      <c r="AM514" s="5"/>
      <c r="AN514" s="5"/>
      <c r="AO514" s="5"/>
      <c r="AP514" s="5"/>
      <c r="AQ514" s="5"/>
      <c r="AR514" s="5"/>
    </row>
    <row r="515" ht="15.75" customHeight="1">
      <c r="A515" s="36"/>
      <c r="B515" s="37"/>
      <c r="C515" s="2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33"/>
      <c r="AL515" s="5"/>
      <c r="AM515" s="5"/>
      <c r="AN515" s="5"/>
      <c r="AO515" s="5"/>
      <c r="AP515" s="5"/>
      <c r="AQ515" s="5"/>
      <c r="AR515" s="5"/>
    </row>
    <row r="516" ht="15.75" customHeight="1">
      <c r="A516" s="36"/>
      <c r="B516" s="37"/>
      <c r="C516" s="2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33"/>
      <c r="AL516" s="5"/>
      <c r="AM516" s="5"/>
      <c r="AN516" s="5"/>
      <c r="AO516" s="5"/>
      <c r="AP516" s="5"/>
      <c r="AQ516" s="5"/>
      <c r="AR516" s="5"/>
    </row>
    <row r="517" ht="15.75" customHeight="1">
      <c r="A517" s="36"/>
      <c r="B517" s="37"/>
      <c r="C517" s="2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33"/>
      <c r="AL517" s="5"/>
      <c r="AM517" s="5"/>
      <c r="AN517" s="5"/>
      <c r="AO517" s="5"/>
      <c r="AP517" s="5"/>
      <c r="AQ517" s="5"/>
      <c r="AR517" s="5"/>
    </row>
    <row r="518" ht="15.75" customHeight="1">
      <c r="A518" s="36"/>
      <c r="B518" s="37"/>
      <c r="C518" s="2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33"/>
      <c r="AL518" s="5"/>
      <c r="AM518" s="5"/>
      <c r="AN518" s="5"/>
      <c r="AO518" s="5"/>
      <c r="AP518" s="5"/>
      <c r="AQ518" s="5"/>
      <c r="AR518" s="5"/>
    </row>
    <row r="519" ht="15.75" customHeight="1">
      <c r="A519" s="36"/>
      <c r="B519" s="37"/>
      <c r="C519" s="2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33"/>
      <c r="AL519" s="5"/>
      <c r="AM519" s="5"/>
      <c r="AN519" s="5"/>
      <c r="AO519" s="5"/>
      <c r="AP519" s="5"/>
      <c r="AQ519" s="5"/>
      <c r="AR519" s="5"/>
    </row>
    <row r="520" ht="15.75" customHeight="1">
      <c r="A520" s="36"/>
      <c r="B520" s="37"/>
      <c r="C520" s="2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33"/>
      <c r="AL520" s="5"/>
      <c r="AM520" s="5"/>
      <c r="AN520" s="5"/>
      <c r="AO520" s="5"/>
      <c r="AP520" s="5"/>
      <c r="AQ520" s="5"/>
      <c r="AR520" s="5"/>
    </row>
    <row r="521" ht="15.75" customHeight="1">
      <c r="A521" s="36"/>
      <c r="B521" s="37"/>
      <c r="C521" s="2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33"/>
      <c r="AL521" s="5"/>
      <c r="AM521" s="5"/>
      <c r="AN521" s="5"/>
      <c r="AO521" s="5"/>
      <c r="AP521" s="5"/>
      <c r="AQ521" s="5"/>
      <c r="AR521" s="5"/>
    </row>
    <row r="522" ht="15.75" customHeight="1">
      <c r="A522" s="36"/>
      <c r="B522" s="37"/>
      <c r="C522" s="2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33"/>
      <c r="AL522" s="5"/>
      <c r="AM522" s="5"/>
      <c r="AN522" s="5"/>
      <c r="AO522" s="5"/>
      <c r="AP522" s="5"/>
      <c r="AQ522" s="5"/>
      <c r="AR522" s="5"/>
    </row>
    <row r="523" ht="15.75" customHeight="1">
      <c r="A523" s="36"/>
      <c r="B523" s="37"/>
      <c r="C523" s="2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33"/>
      <c r="AL523" s="5"/>
      <c r="AM523" s="5"/>
      <c r="AN523" s="5"/>
      <c r="AO523" s="5"/>
      <c r="AP523" s="5"/>
      <c r="AQ523" s="5"/>
      <c r="AR523" s="5"/>
    </row>
    <row r="524" ht="15.75" customHeight="1">
      <c r="A524" s="36"/>
      <c r="B524" s="37"/>
      <c r="C524" s="2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33"/>
      <c r="AL524" s="5"/>
      <c r="AM524" s="5"/>
      <c r="AN524" s="5"/>
      <c r="AO524" s="5"/>
      <c r="AP524" s="5"/>
      <c r="AQ524" s="5"/>
      <c r="AR524" s="5"/>
    </row>
    <row r="525" ht="15.75" customHeight="1">
      <c r="A525" s="36"/>
      <c r="B525" s="37"/>
      <c r="C525" s="2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33"/>
      <c r="AL525" s="5"/>
      <c r="AM525" s="5"/>
      <c r="AN525" s="5"/>
      <c r="AO525" s="5"/>
      <c r="AP525" s="5"/>
      <c r="AQ525" s="5"/>
      <c r="AR525" s="5"/>
    </row>
    <row r="526" ht="15.75" customHeight="1">
      <c r="A526" s="36"/>
      <c r="B526" s="37"/>
      <c r="C526" s="2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33"/>
      <c r="AL526" s="5"/>
      <c r="AM526" s="5"/>
      <c r="AN526" s="5"/>
      <c r="AO526" s="5"/>
      <c r="AP526" s="5"/>
      <c r="AQ526" s="5"/>
      <c r="AR526" s="5"/>
    </row>
    <row r="527" ht="15.75" customHeight="1">
      <c r="A527" s="36"/>
      <c r="B527" s="37"/>
      <c r="C527" s="2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33"/>
      <c r="AL527" s="5"/>
      <c r="AM527" s="5"/>
      <c r="AN527" s="5"/>
      <c r="AO527" s="5"/>
      <c r="AP527" s="5"/>
      <c r="AQ527" s="5"/>
      <c r="AR527" s="5"/>
    </row>
    <row r="528" ht="15.75" customHeight="1">
      <c r="A528" s="36"/>
      <c r="B528" s="37"/>
      <c r="C528" s="2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33"/>
      <c r="AL528" s="5"/>
      <c r="AM528" s="5"/>
      <c r="AN528" s="5"/>
      <c r="AO528" s="5"/>
      <c r="AP528" s="5"/>
      <c r="AQ528" s="5"/>
      <c r="AR528" s="5"/>
    </row>
    <row r="529" ht="15.75" customHeight="1">
      <c r="A529" s="36"/>
      <c r="B529" s="37"/>
      <c r="C529" s="2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33"/>
      <c r="AL529" s="5"/>
      <c r="AM529" s="5"/>
      <c r="AN529" s="5"/>
      <c r="AO529" s="5"/>
      <c r="AP529" s="5"/>
      <c r="AQ529" s="5"/>
      <c r="AR529" s="5"/>
    </row>
    <row r="530" ht="15.75" customHeight="1">
      <c r="A530" s="36"/>
      <c r="B530" s="37"/>
      <c r="C530" s="2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33"/>
      <c r="AL530" s="5"/>
      <c r="AM530" s="5"/>
      <c r="AN530" s="5"/>
      <c r="AO530" s="5"/>
      <c r="AP530" s="5"/>
      <c r="AQ530" s="5"/>
      <c r="AR530" s="5"/>
    </row>
    <row r="531" ht="15.75" customHeight="1">
      <c r="A531" s="36"/>
      <c r="B531" s="37"/>
      <c r="C531" s="2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33"/>
      <c r="AL531" s="5"/>
      <c r="AM531" s="5"/>
      <c r="AN531" s="5"/>
      <c r="AO531" s="5"/>
      <c r="AP531" s="5"/>
      <c r="AQ531" s="5"/>
      <c r="AR531" s="5"/>
    </row>
    <row r="532" ht="15.75" customHeight="1">
      <c r="A532" s="36"/>
      <c r="B532" s="37"/>
      <c r="C532" s="2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33"/>
      <c r="AL532" s="5"/>
      <c r="AM532" s="5"/>
      <c r="AN532" s="5"/>
      <c r="AO532" s="5"/>
      <c r="AP532" s="5"/>
      <c r="AQ532" s="5"/>
      <c r="AR532" s="5"/>
    </row>
    <row r="533" ht="15.75" customHeight="1">
      <c r="A533" s="36"/>
      <c r="B533" s="37"/>
      <c r="C533" s="2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33"/>
      <c r="AL533" s="5"/>
      <c r="AM533" s="5"/>
      <c r="AN533" s="5"/>
      <c r="AO533" s="5"/>
      <c r="AP533" s="5"/>
      <c r="AQ533" s="5"/>
      <c r="AR533" s="5"/>
    </row>
    <row r="534" ht="15.75" customHeight="1">
      <c r="A534" s="36"/>
      <c r="B534" s="37"/>
      <c r="C534" s="2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33"/>
      <c r="AL534" s="5"/>
      <c r="AM534" s="5"/>
      <c r="AN534" s="5"/>
      <c r="AO534" s="5"/>
      <c r="AP534" s="5"/>
      <c r="AQ534" s="5"/>
      <c r="AR534" s="5"/>
    </row>
    <row r="535" ht="15.75" customHeight="1">
      <c r="A535" s="36"/>
      <c r="B535" s="37"/>
      <c r="C535" s="2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33"/>
      <c r="AL535" s="5"/>
      <c r="AM535" s="5"/>
      <c r="AN535" s="5"/>
      <c r="AO535" s="5"/>
      <c r="AP535" s="5"/>
      <c r="AQ535" s="5"/>
      <c r="AR535" s="5"/>
    </row>
    <row r="536" ht="15.75" customHeight="1">
      <c r="A536" s="36"/>
      <c r="B536" s="37"/>
      <c r="C536" s="2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33"/>
      <c r="AL536" s="5"/>
      <c r="AM536" s="5"/>
      <c r="AN536" s="5"/>
      <c r="AO536" s="5"/>
      <c r="AP536" s="5"/>
      <c r="AQ536" s="5"/>
      <c r="AR536" s="5"/>
    </row>
    <row r="537" ht="15.75" customHeight="1">
      <c r="A537" s="36"/>
      <c r="B537" s="37"/>
      <c r="C537" s="2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33"/>
      <c r="AL537" s="5"/>
      <c r="AM537" s="5"/>
      <c r="AN537" s="5"/>
      <c r="AO537" s="5"/>
      <c r="AP537" s="5"/>
      <c r="AQ537" s="5"/>
      <c r="AR537" s="5"/>
    </row>
    <row r="538" ht="15.75" customHeight="1">
      <c r="A538" s="36"/>
      <c r="B538" s="37"/>
      <c r="C538" s="2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33"/>
      <c r="AL538" s="5"/>
      <c r="AM538" s="5"/>
      <c r="AN538" s="5"/>
      <c r="AO538" s="5"/>
      <c r="AP538" s="5"/>
      <c r="AQ538" s="5"/>
      <c r="AR538" s="5"/>
    </row>
    <row r="539" ht="15.75" customHeight="1">
      <c r="A539" s="36"/>
      <c r="B539" s="37"/>
      <c r="C539" s="2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33"/>
      <c r="AL539" s="5"/>
      <c r="AM539" s="5"/>
      <c r="AN539" s="5"/>
      <c r="AO539" s="5"/>
      <c r="AP539" s="5"/>
      <c r="AQ539" s="5"/>
      <c r="AR539" s="5"/>
    </row>
    <row r="540" ht="15.75" customHeight="1">
      <c r="A540" s="36"/>
      <c r="B540" s="37"/>
      <c r="C540" s="2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33"/>
      <c r="AL540" s="5"/>
      <c r="AM540" s="5"/>
      <c r="AN540" s="5"/>
      <c r="AO540" s="5"/>
      <c r="AP540" s="5"/>
      <c r="AQ540" s="5"/>
      <c r="AR540" s="5"/>
    </row>
    <row r="541" ht="15.75" customHeight="1">
      <c r="A541" s="36"/>
      <c r="B541" s="37"/>
      <c r="C541" s="2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33"/>
      <c r="AL541" s="5"/>
      <c r="AM541" s="5"/>
      <c r="AN541" s="5"/>
      <c r="AO541" s="5"/>
      <c r="AP541" s="5"/>
      <c r="AQ541" s="5"/>
      <c r="AR541" s="5"/>
    </row>
    <row r="542" ht="15.75" customHeight="1">
      <c r="A542" s="36"/>
      <c r="B542" s="37"/>
      <c r="C542" s="2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33"/>
      <c r="AL542" s="5"/>
      <c r="AM542" s="5"/>
      <c r="AN542" s="5"/>
      <c r="AO542" s="5"/>
      <c r="AP542" s="5"/>
      <c r="AQ542" s="5"/>
      <c r="AR542" s="5"/>
    </row>
    <row r="543" ht="15.75" customHeight="1">
      <c r="A543" s="36"/>
      <c r="B543" s="37"/>
      <c r="C543" s="2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33"/>
      <c r="AL543" s="5"/>
      <c r="AM543" s="5"/>
      <c r="AN543" s="5"/>
      <c r="AO543" s="5"/>
      <c r="AP543" s="5"/>
      <c r="AQ543" s="5"/>
      <c r="AR543" s="5"/>
    </row>
    <row r="544" ht="15.75" customHeight="1">
      <c r="A544" s="36"/>
      <c r="B544" s="37"/>
      <c r="C544" s="2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33"/>
      <c r="AL544" s="5"/>
      <c r="AM544" s="5"/>
      <c r="AN544" s="5"/>
      <c r="AO544" s="5"/>
      <c r="AP544" s="5"/>
      <c r="AQ544" s="5"/>
      <c r="AR544" s="5"/>
    </row>
    <row r="545" ht="15.75" customHeight="1">
      <c r="A545" s="36"/>
      <c r="B545" s="37"/>
      <c r="C545" s="2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33"/>
      <c r="AL545" s="5"/>
      <c r="AM545" s="5"/>
      <c r="AN545" s="5"/>
      <c r="AO545" s="5"/>
      <c r="AP545" s="5"/>
      <c r="AQ545" s="5"/>
      <c r="AR545" s="5"/>
    </row>
    <row r="546" ht="15.75" customHeight="1">
      <c r="A546" s="36"/>
      <c r="B546" s="37"/>
      <c r="C546" s="2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33"/>
      <c r="AL546" s="5"/>
      <c r="AM546" s="5"/>
      <c r="AN546" s="5"/>
      <c r="AO546" s="5"/>
      <c r="AP546" s="5"/>
      <c r="AQ546" s="5"/>
      <c r="AR546" s="5"/>
    </row>
    <row r="547" ht="15.75" customHeight="1">
      <c r="A547" s="36"/>
      <c r="B547" s="37"/>
      <c r="C547" s="2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33"/>
      <c r="AL547" s="5"/>
      <c r="AM547" s="5"/>
      <c r="AN547" s="5"/>
      <c r="AO547" s="5"/>
      <c r="AP547" s="5"/>
      <c r="AQ547" s="5"/>
      <c r="AR547" s="5"/>
    </row>
    <row r="548" ht="15.75" customHeight="1">
      <c r="A548" s="36"/>
      <c r="B548" s="37"/>
      <c r="C548" s="2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33"/>
      <c r="AL548" s="5"/>
      <c r="AM548" s="5"/>
      <c r="AN548" s="5"/>
      <c r="AO548" s="5"/>
      <c r="AP548" s="5"/>
      <c r="AQ548" s="5"/>
      <c r="AR548" s="5"/>
    </row>
    <row r="549" ht="15.75" customHeight="1">
      <c r="A549" s="36"/>
      <c r="B549" s="37"/>
      <c r="C549" s="2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33"/>
      <c r="AL549" s="5"/>
      <c r="AM549" s="5"/>
      <c r="AN549" s="5"/>
      <c r="AO549" s="5"/>
      <c r="AP549" s="5"/>
      <c r="AQ549" s="5"/>
      <c r="AR549" s="5"/>
    </row>
    <row r="550" ht="15.75" customHeight="1">
      <c r="A550" s="36"/>
      <c r="B550" s="37"/>
      <c r="C550" s="2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33"/>
      <c r="AL550" s="5"/>
      <c r="AM550" s="5"/>
      <c r="AN550" s="5"/>
      <c r="AO550" s="5"/>
      <c r="AP550" s="5"/>
      <c r="AQ550" s="5"/>
      <c r="AR550" s="5"/>
    </row>
    <row r="551" ht="15.75" customHeight="1">
      <c r="A551" s="36"/>
      <c r="B551" s="37"/>
      <c r="C551" s="2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33"/>
      <c r="AL551" s="5"/>
      <c r="AM551" s="5"/>
      <c r="AN551" s="5"/>
      <c r="AO551" s="5"/>
      <c r="AP551" s="5"/>
      <c r="AQ551" s="5"/>
      <c r="AR551" s="5"/>
    </row>
    <row r="552" ht="15.75" customHeight="1">
      <c r="A552" s="36"/>
      <c r="B552" s="37"/>
      <c r="C552" s="2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33"/>
      <c r="AL552" s="5"/>
      <c r="AM552" s="5"/>
      <c r="AN552" s="5"/>
      <c r="AO552" s="5"/>
      <c r="AP552" s="5"/>
      <c r="AQ552" s="5"/>
      <c r="AR552" s="5"/>
    </row>
    <row r="553" ht="15.75" customHeight="1">
      <c r="A553" s="36"/>
      <c r="B553" s="37"/>
      <c r="C553" s="2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33"/>
      <c r="AL553" s="5"/>
      <c r="AM553" s="5"/>
      <c r="AN553" s="5"/>
      <c r="AO553" s="5"/>
      <c r="AP553" s="5"/>
      <c r="AQ553" s="5"/>
      <c r="AR553" s="5"/>
    </row>
    <row r="554" ht="15.75" customHeight="1">
      <c r="A554" s="36"/>
      <c r="B554" s="37"/>
      <c r="C554" s="2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33"/>
      <c r="AL554" s="5"/>
      <c r="AM554" s="5"/>
      <c r="AN554" s="5"/>
      <c r="AO554" s="5"/>
      <c r="AP554" s="5"/>
      <c r="AQ554" s="5"/>
      <c r="AR554" s="5"/>
    </row>
    <row r="555" ht="15.75" customHeight="1">
      <c r="A555" s="36"/>
      <c r="B555" s="37"/>
      <c r="C555" s="2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33"/>
      <c r="AL555" s="5"/>
      <c r="AM555" s="5"/>
      <c r="AN555" s="5"/>
      <c r="AO555" s="5"/>
      <c r="AP555" s="5"/>
      <c r="AQ555" s="5"/>
      <c r="AR555" s="5"/>
    </row>
    <row r="556" ht="15.75" customHeight="1">
      <c r="A556" s="36"/>
      <c r="B556" s="37"/>
      <c r="C556" s="2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33"/>
      <c r="AL556" s="5"/>
      <c r="AM556" s="5"/>
      <c r="AN556" s="5"/>
      <c r="AO556" s="5"/>
      <c r="AP556" s="5"/>
      <c r="AQ556" s="5"/>
      <c r="AR556" s="5"/>
    </row>
    <row r="557" ht="15.75" customHeight="1">
      <c r="A557" s="36"/>
      <c r="B557" s="37"/>
      <c r="C557" s="2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33"/>
      <c r="AL557" s="5"/>
      <c r="AM557" s="5"/>
      <c r="AN557" s="5"/>
      <c r="AO557" s="5"/>
      <c r="AP557" s="5"/>
      <c r="AQ557" s="5"/>
      <c r="AR557" s="5"/>
    </row>
    <row r="558" ht="15.75" customHeight="1">
      <c r="A558" s="36"/>
      <c r="B558" s="37"/>
      <c r="C558" s="2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33"/>
      <c r="AL558" s="5"/>
      <c r="AM558" s="5"/>
      <c r="AN558" s="5"/>
      <c r="AO558" s="5"/>
      <c r="AP558" s="5"/>
      <c r="AQ558" s="5"/>
      <c r="AR558" s="5"/>
    </row>
    <row r="559" ht="15.75" customHeight="1">
      <c r="A559" s="36"/>
      <c r="B559" s="37"/>
      <c r="C559" s="2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33"/>
      <c r="AL559" s="5"/>
      <c r="AM559" s="5"/>
      <c r="AN559" s="5"/>
      <c r="AO559" s="5"/>
      <c r="AP559" s="5"/>
      <c r="AQ559" s="5"/>
      <c r="AR559" s="5"/>
    </row>
    <row r="560" ht="15.75" customHeight="1">
      <c r="A560" s="36"/>
      <c r="B560" s="37"/>
      <c r="C560" s="2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33"/>
      <c r="AL560" s="5"/>
      <c r="AM560" s="5"/>
      <c r="AN560" s="5"/>
      <c r="AO560" s="5"/>
      <c r="AP560" s="5"/>
      <c r="AQ560" s="5"/>
      <c r="AR560" s="5"/>
    </row>
    <row r="561" ht="15.75" customHeight="1">
      <c r="A561" s="36"/>
      <c r="B561" s="37"/>
      <c r="C561" s="2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33"/>
      <c r="AL561" s="5"/>
      <c r="AM561" s="5"/>
      <c r="AN561" s="5"/>
      <c r="AO561" s="5"/>
      <c r="AP561" s="5"/>
      <c r="AQ561" s="5"/>
      <c r="AR561" s="5"/>
    </row>
    <row r="562" ht="15.75" customHeight="1">
      <c r="A562" s="36"/>
      <c r="B562" s="37"/>
      <c r="C562" s="2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33"/>
      <c r="AL562" s="5"/>
      <c r="AM562" s="5"/>
      <c r="AN562" s="5"/>
      <c r="AO562" s="5"/>
      <c r="AP562" s="5"/>
      <c r="AQ562" s="5"/>
      <c r="AR562" s="5"/>
    </row>
    <row r="563" ht="15.75" customHeight="1">
      <c r="A563" s="36"/>
      <c r="B563" s="37"/>
      <c r="C563" s="2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33"/>
      <c r="AL563" s="5"/>
      <c r="AM563" s="5"/>
      <c r="AN563" s="5"/>
      <c r="AO563" s="5"/>
      <c r="AP563" s="5"/>
      <c r="AQ563" s="5"/>
      <c r="AR563" s="5"/>
    </row>
    <row r="564" ht="15.75" customHeight="1">
      <c r="A564" s="36"/>
      <c r="B564" s="37"/>
      <c r="C564" s="2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33"/>
      <c r="AL564" s="5"/>
      <c r="AM564" s="5"/>
      <c r="AN564" s="5"/>
      <c r="AO564" s="5"/>
      <c r="AP564" s="5"/>
      <c r="AQ564" s="5"/>
      <c r="AR564" s="5"/>
    </row>
    <row r="565" ht="15.75" customHeight="1">
      <c r="A565" s="36"/>
      <c r="B565" s="37"/>
      <c r="C565" s="2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33"/>
      <c r="AL565" s="5"/>
      <c r="AM565" s="5"/>
      <c r="AN565" s="5"/>
      <c r="AO565" s="5"/>
      <c r="AP565" s="5"/>
      <c r="AQ565" s="5"/>
      <c r="AR565" s="5"/>
    </row>
    <row r="566" ht="15.75" customHeight="1">
      <c r="A566" s="36"/>
      <c r="B566" s="37"/>
      <c r="C566" s="2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33"/>
      <c r="AL566" s="5"/>
      <c r="AM566" s="5"/>
      <c r="AN566" s="5"/>
      <c r="AO566" s="5"/>
      <c r="AP566" s="5"/>
      <c r="AQ566" s="5"/>
      <c r="AR566" s="5"/>
    </row>
    <row r="567" ht="15.75" customHeight="1">
      <c r="A567" s="36"/>
      <c r="B567" s="37"/>
      <c r="C567" s="2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33"/>
      <c r="AL567" s="5"/>
      <c r="AM567" s="5"/>
      <c r="AN567" s="5"/>
      <c r="AO567" s="5"/>
      <c r="AP567" s="5"/>
      <c r="AQ567" s="5"/>
      <c r="AR567" s="5"/>
    </row>
    <row r="568" ht="15.75" customHeight="1">
      <c r="A568" s="36"/>
      <c r="B568" s="37"/>
      <c r="C568" s="2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33"/>
      <c r="AL568" s="5"/>
      <c r="AM568" s="5"/>
      <c r="AN568" s="5"/>
      <c r="AO568" s="5"/>
      <c r="AP568" s="5"/>
      <c r="AQ568" s="5"/>
      <c r="AR568" s="5"/>
    </row>
    <row r="569" ht="15.75" customHeight="1">
      <c r="A569" s="36"/>
      <c r="B569" s="37"/>
      <c r="C569" s="2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33"/>
      <c r="AL569" s="5"/>
      <c r="AM569" s="5"/>
      <c r="AN569" s="5"/>
      <c r="AO569" s="5"/>
      <c r="AP569" s="5"/>
      <c r="AQ569" s="5"/>
      <c r="AR569" s="5"/>
    </row>
    <row r="570" ht="15.75" customHeight="1">
      <c r="A570" s="36"/>
      <c r="B570" s="37"/>
      <c r="C570" s="2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33"/>
      <c r="AL570" s="5"/>
      <c r="AM570" s="5"/>
      <c r="AN570" s="5"/>
      <c r="AO570" s="5"/>
      <c r="AP570" s="5"/>
      <c r="AQ570" s="5"/>
      <c r="AR570" s="5"/>
    </row>
    <row r="571" ht="15.75" customHeight="1">
      <c r="A571" s="36"/>
      <c r="B571" s="37"/>
      <c r="C571" s="2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33"/>
      <c r="AL571" s="5"/>
      <c r="AM571" s="5"/>
      <c r="AN571" s="5"/>
      <c r="AO571" s="5"/>
      <c r="AP571" s="5"/>
      <c r="AQ571" s="5"/>
      <c r="AR571" s="5"/>
    </row>
    <row r="572" ht="15.75" customHeight="1">
      <c r="A572" s="36"/>
      <c r="B572" s="37"/>
      <c r="C572" s="2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33"/>
      <c r="AL572" s="5"/>
      <c r="AM572" s="5"/>
      <c r="AN572" s="5"/>
      <c r="AO572" s="5"/>
      <c r="AP572" s="5"/>
      <c r="AQ572" s="5"/>
      <c r="AR572" s="5"/>
    </row>
    <row r="573" ht="15.75" customHeight="1">
      <c r="A573" s="36"/>
      <c r="B573" s="37"/>
      <c r="C573" s="2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33"/>
      <c r="AL573" s="5"/>
      <c r="AM573" s="5"/>
      <c r="AN573" s="5"/>
      <c r="AO573" s="5"/>
      <c r="AP573" s="5"/>
      <c r="AQ573" s="5"/>
      <c r="AR573" s="5"/>
    </row>
    <row r="574" ht="15.75" customHeight="1">
      <c r="A574" s="36"/>
      <c r="B574" s="37"/>
      <c r="C574" s="2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33"/>
      <c r="AL574" s="5"/>
      <c r="AM574" s="5"/>
      <c r="AN574" s="5"/>
      <c r="AO574" s="5"/>
      <c r="AP574" s="5"/>
      <c r="AQ574" s="5"/>
      <c r="AR574" s="5"/>
    </row>
    <row r="575" ht="15.75" customHeight="1">
      <c r="A575" s="36"/>
      <c r="B575" s="37"/>
      <c r="C575" s="2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33"/>
      <c r="AL575" s="5"/>
      <c r="AM575" s="5"/>
      <c r="AN575" s="5"/>
      <c r="AO575" s="5"/>
      <c r="AP575" s="5"/>
      <c r="AQ575" s="5"/>
      <c r="AR575" s="5"/>
    </row>
    <row r="576" ht="15.75" customHeight="1">
      <c r="A576" s="36"/>
      <c r="B576" s="37"/>
      <c r="C576" s="2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33"/>
      <c r="AL576" s="5"/>
      <c r="AM576" s="5"/>
      <c r="AN576" s="5"/>
      <c r="AO576" s="5"/>
      <c r="AP576" s="5"/>
      <c r="AQ576" s="5"/>
      <c r="AR576" s="5"/>
    </row>
    <row r="577" ht="15.75" customHeight="1">
      <c r="A577" s="36"/>
      <c r="B577" s="37"/>
      <c r="C577" s="2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33"/>
      <c r="AL577" s="5"/>
      <c r="AM577" s="5"/>
      <c r="AN577" s="5"/>
      <c r="AO577" s="5"/>
      <c r="AP577" s="5"/>
      <c r="AQ577" s="5"/>
      <c r="AR577" s="5"/>
    </row>
    <row r="578" ht="15.75" customHeight="1">
      <c r="A578" s="36"/>
      <c r="B578" s="37"/>
      <c r="C578" s="2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33"/>
      <c r="AL578" s="5"/>
      <c r="AM578" s="5"/>
      <c r="AN578" s="5"/>
      <c r="AO578" s="5"/>
      <c r="AP578" s="5"/>
      <c r="AQ578" s="5"/>
      <c r="AR578" s="5"/>
    </row>
    <row r="579" ht="15.75" customHeight="1">
      <c r="A579" s="36"/>
      <c r="B579" s="37"/>
      <c r="C579" s="2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33"/>
      <c r="AL579" s="5"/>
      <c r="AM579" s="5"/>
      <c r="AN579" s="5"/>
      <c r="AO579" s="5"/>
      <c r="AP579" s="5"/>
      <c r="AQ579" s="5"/>
      <c r="AR579" s="5"/>
    </row>
    <row r="580" ht="15.75" customHeight="1">
      <c r="A580" s="36"/>
      <c r="B580" s="37"/>
      <c r="C580" s="2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33"/>
      <c r="AL580" s="5"/>
      <c r="AM580" s="5"/>
      <c r="AN580" s="5"/>
      <c r="AO580" s="5"/>
      <c r="AP580" s="5"/>
      <c r="AQ580" s="5"/>
      <c r="AR580" s="5"/>
    </row>
    <row r="581" ht="15.75" customHeight="1">
      <c r="A581" s="36"/>
      <c r="B581" s="37"/>
      <c r="C581" s="2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33"/>
      <c r="AL581" s="5"/>
      <c r="AM581" s="5"/>
      <c r="AN581" s="5"/>
      <c r="AO581" s="5"/>
      <c r="AP581" s="5"/>
      <c r="AQ581" s="5"/>
      <c r="AR581" s="5"/>
    </row>
    <row r="582" ht="15.75" customHeight="1">
      <c r="A582" s="36"/>
      <c r="B582" s="37"/>
      <c r="C582" s="2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33"/>
      <c r="AL582" s="5"/>
      <c r="AM582" s="5"/>
      <c r="AN582" s="5"/>
      <c r="AO582" s="5"/>
      <c r="AP582" s="5"/>
      <c r="AQ582" s="5"/>
      <c r="AR582" s="5"/>
    </row>
    <row r="583" ht="15.75" customHeight="1">
      <c r="A583" s="36"/>
      <c r="B583" s="37"/>
      <c r="C583" s="2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33"/>
      <c r="AL583" s="5"/>
      <c r="AM583" s="5"/>
      <c r="AN583" s="5"/>
      <c r="AO583" s="5"/>
      <c r="AP583" s="5"/>
      <c r="AQ583" s="5"/>
      <c r="AR583" s="5"/>
    </row>
    <row r="584" ht="15.75" customHeight="1">
      <c r="A584" s="36"/>
      <c r="B584" s="37"/>
      <c r="C584" s="2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33"/>
      <c r="AL584" s="5"/>
      <c r="AM584" s="5"/>
      <c r="AN584" s="5"/>
      <c r="AO584" s="5"/>
      <c r="AP584" s="5"/>
      <c r="AQ584" s="5"/>
      <c r="AR584" s="5"/>
    </row>
    <row r="585" ht="15.75" customHeight="1">
      <c r="A585" s="36"/>
      <c r="B585" s="37"/>
      <c r="C585" s="2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33"/>
      <c r="AL585" s="5"/>
      <c r="AM585" s="5"/>
      <c r="AN585" s="5"/>
      <c r="AO585" s="5"/>
      <c r="AP585" s="5"/>
      <c r="AQ585" s="5"/>
      <c r="AR585" s="5"/>
    </row>
    <row r="586" ht="15.75" customHeight="1">
      <c r="A586" s="36"/>
      <c r="B586" s="37"/>
      <c r="C586" s="2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33"/>
      <c r="AL586" s="5"/>
      <c r="AM586" s="5"/>
      <c r="AN586" s="5"/>
      <c r="AO586" s="5"/>
      <c r="AP586" s="5"/>
      <c r="AQ586" s="5"/>
      <c r="AR586" s="5"/>
    </row>
    <row r="587" ht="15.75" customHeight="1">
      <c r="A587" s="36"/>
      <c r="B587" s="37"/>
      <c r="C587" s="2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33"/>
      <c r="AL587" s="5"/>
      <c r="AM587" s="5"/>
      <c r="AN587" s="5"/>
      <c r="AO587" s="5"/>
      <c r="AP587" s="5"/>
      <c r="AQ587" s="5"/>
      <c r="AR587" s="5"/>
    </row>
    <row r="588" ht="15.75" customHeight="1">
      <c r="A588" s="36"/>
      <c r="B588" s="37"/>
      <c r="C588" s="2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33"/>
      <c r="AL588" s="5"/>
      <c r="AM588" s="5"/>
      <c r="AN588" s="5"/>
      <c r="AO588" s="5"/>
      <c r="AP588" s="5"/>
      <c r="AQ588" s="5"/>
      <c r="AR588" s="5"/>
    </row>
    <row r="589" ht="15.75" customHeight="1">
      <c r="A589" s="36"/>
      <c r="B589" s="37"/>
      <c r="C589" s="2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33"/>
      <c r="AL589" s="5"/>
      <c r="AM589" s="5"/>
      <c r="AN589" s="5"/>
      <c r="AO589" s="5"/>
      <c r="AP589" s="5"/>
      <c r="AQ589" s="5"/>
      <c r="AR589" s="5"/>
    </row>
    <row r="590" ht="15.75" customHeight="1">
      <c r="A590" s="36"/>
      <c r="B590" s="37"/>
      <c r="C590" s="2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33"/>
      <c r="AL590" s="5"/>
      <c r="AM590" s="5"/>
      <c r="AN590" s="5"/>
      <c r="AO590" s="5"/>
      <c r="AP590" s="5"/>
      <c r="AQ590" s="5"/>
      <c r="AR590" s="5"/>
    </row>
    <row r="591" ht="15.75" customHeight="1">
      <c r="A591" s="36"/>
      <c r="B591" s="37"/>
      <c r="C591" s="2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33"/>
      <c r="AL591" s="5"/>
      <c r="AM591" s="5"/>
      <c r="AN591" s="5"/>
      <c r="AO591" s="5"/>
      <c r="AP591" s="5"/>
      <c r="AQ591" s="5"/>
      <c r="AR591" s="5"/>
    </row>
    <row r="592" ht="15.75" customHeight="1">
      <c r="A592" s="36"/>
      <c r="B592" s="37"/>
      <c r="C592" s="2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33"/>
      <c r="AL592" s="5"/>
      <c r="AM592" s="5"/>
      <c r="AN592" s="5"/>
      <c r="AO592" s="5"/>
      <c r="AP592" s="5"/>
      <c r="AQ592" s="5"/>
      <c r="AR592" s="5"/>
    </row>
    <row r="593" ht="15.75" customHeight="1">
      <c r="A593" s="36"/>
      <c r="B593" s="37"/>
      <c r="C593" s="2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33"/>
      <c r="AL593" s="5"/>
      <c r="AM593" s="5"/>
      <c r="AN593" s="5"/>
      <c r="AO593" s="5"/>
      <c r="AP593" s="5"/>
      <c r="AQ593" s="5"/>
      <c r="AR593" s="5"/>
    </row>
    <row r="594" ht="15.75" customHeight="1">
      <c r="A594" s="36"/>
      <c r="B594" s="37"/>
      <c r="C594" s="2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33"/>
      <c r="AL594" s="5"/>
      <c r="AM594" s="5"/>
      <c r="AN594" s="5"/>
      <c r="AO594" s="5"/>
      <c r="AP594" s="5"/>
      <c r="AQ594" s="5"/>
      <c r="AR594" s="5"/>
    </row>
    <row r="595" ht="15.75" customHeight="1">
      <c r="A595" s="36"/>
      <c r="B595" s="37"/>
      <c r="C595" s="2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33"/>
      <c r="AL595" s="5"/>
      <c r="AM595" s="5"/>
      <c r="AN595" s="5"/>
      <c r="AO595" s="5"/>
      <c r="AP595" s="5"/>
      <c r="AQ595" s="5"/>
      <c r="AR595" s="5"/>
    </row>
    <row r="596" ht="15.75" customHeight="1">
      <c r="A596" s="36"/>
      <c r="B596" s="37"/>
      <c r="C596" s="2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33"/>
      <c r="AL596" s="5"/>
      <c r="AM596" s="5"/>
      <c r="AN596" s="5"/>
      <c r="AO596" s="5"/>
      <c r="AP596" s="5"/>
      <c r="AQ596" s="5"/>
      <c r="AR596" s="5"/>
    </row>
    <row r="597" ht="15.75" customHeight="1">
      <c r="A597" s="36"/>
      <c r="B597" s="37"/>
      <c r="C597" s="2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33"/>
      <c r="AL597" s="5"/>
      <c r="AM597" s="5"/>
      <c r="AN597" s="5"/>
      <c r="AO597" s="5"/>
      <c r="AP597" s="5"/>
      <c r="AQ597" s="5"/>
      <c r="AR597" s="5"/>
    </row>
    <row r="598" ht="15.75" customHeight="1">
      <c r="A598" s="36"/>
      <c r="B598" s="37"/>
      <c r="C598" s="2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33"/>
      <c r="AL598" s="5"/>
      <c r="AM598" s="5"/>
      <c r="AN598" s="5"/>
      <c r="AO598" s="5"/>
      <c r="AP598" s="5"/>
      <c r="AQ598" s="5"/>
      <c r="AR598" s="5"/>
    </row>
    <row r="599" ht="15.75" customHeight="1">
      <c r="A599" s="36"/>
      <c r="B599" s="37"/>
      <c r="C599" s="2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33"/>
      <c r="AL599" s="5"/>
      <c r="AM599" s="5"/>
      <c r="AN599" s="5"/>
      <c r="AO599" s="5"/>
      <c r="AP599" s="5"/>
      <c r="AQ599" s="5"/>
      <c r="AR599" s="5"/>
    </row>
    <row r="600" ht="15.75" customHeight="1">
      <c r="A600" s="36"/>
      <c r="B600" s="37"/>
      <c r="C600" s="2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33"/>
      <c r="AL600" s="5"/>
      <c r="AM600" s="5"/>
      <c r="AN600" s="5"/>
      <c r="AO600" s="5"/>
      <c r="AP600" s="5"/>
      <c r="AQ600" s="5"/>
      <c r="AR600" s="5"/>
    </row>
    <row r="601" ht="15.75" customHeight="1">
      <c r="A601" s="36"/>
      <c r="B601" s="37"/>
      <c r="C601" s="2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33"/>
      <c r="AL601" s="5"/>
      <c r="AM601" s="5"/>
      <c r="AN601" s="5"/>
      <c r="AO601" s="5"/>
      <c r="AP601" s="5"/>
      <c r="AQ601" s="5"/>
      <c r="AR601" s="5"/>
    </row>
    <row r="602" ht="15.75" customHeight="1">
      <c r="A602" s="36"/>
      <c r="B602" s="37"/>
      <c r="C602" s="2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33"/>
      <c r="AL602" s="5"/>
      <c r="AM602" s="5"/>
      <c r="AN602" s="5"/>
      <c r="AO602" s="5"/>
      <c r="AP602" s="5"/>
      <c r="AQ602" s="5"/>
      <c r="AR602" s="5"/>
    </row>
    <row r="603" ht="15.75" customHeight="1">
      <c r="A603" s="36"/>
      <c r="B603" s="37"/>
      <c r="C603" s="2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33"/>
      <c r="AL603" s="5"/>
      <c r="AM603" s="5"/>
      <c r="AN603" s="5"/>
      <c r="AO603" s="5"/>
      <c r="AP603" s="5"/>
      <c r="AQ603" s="5"/>
      <c r="AR603" s="5"/>
    </row>
    <row r="604" ht="15.75" customHeight="1">
      <c r="A604" s="36"/>
      <c r="B604" s="37"/>
      <c r="C604" s="2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33"/>
      <c r="AL604" s="5"/>
      <c r="AM604" s="5"/>
      <c r="AN604" s="5"/>
      <c r="AO604" s="5"/>
      <c r="AP604" s="5"/>
      <c r="AQ604" s="5"/>
      <c r="AR604" s="5"/>
    </row>
    <row r="605" ht="15.75" customHeight="1">
      <c r="A605" s="36"/>
      <c r="B605" s="37"/>
      <c r="C605" s="2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33"/>
      <c r="AL605" s="5"/>
      <c r="AM605" s="5"/>
      <c r="AN605" s="5"/>
      <c r="AO605" s="5"/>
      <c r="AP605" s="5"/>
      <c r="AQ605" s="5"/>
      <c r="AR605" s="5"/>
    </row>
    <row r="606" ht="15.75" customHeight="1">
      <c r="A606" s="36"/>
      <c r="B606" s="37"/>
      <c r="C606" s="2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33"/>
      <c r="AL606" s="5"/>
      <c r="AM606" s="5"/>
      <c r="AN606" s="5"/>
      <c r="AO606" s="5"/>
      <c r="AP606" s="5"/>
      <c r="AQ606" s="5"/>
      <c r="AR606" s="5"/>
    </row>
    <row r="607" ht="15.75" customHeight="1">
      <c r="A607" s="36"/>
      <c r="B607" s="37"/>
      <c r="C607" s="2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33"/>
      <c r="AL607" s="5"/>
      <c r="AM607" s="5"/>
      <c r="AN607" s="5"/>
      <c r="AO607" s="5"/>
      <c r="AP607" s="5"/>
      <c r="AQ607" s="5"/>
      <c r="AR607" s="5"/>
    </row>
    <row r="608" ht="15.75" customHeight="1">
      <c r="A608" s="36"/>
      <c r="B608" s="37"/>
      <c r="C608" s="2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33"/>
      <c r="AL608" s="5"/>
      <c r="AM608" s="5"/>
      <c r="AN608" s="5"/>
      <c r="AO608" s="5"/>
      <c r="AP608" s="5"/>
      <c r="AQ608" s="5"/>
      <c r="AR608" s="5"/>
    </row>
    <row r="609" ht="15.75" customHeight="1">
      <c r="A609" s="36"/>
      <c r="B609" s="37"/>
      <c r="C609" s="2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33"/>
      <c r="AL609" s="5"/>
      <c r="AM609" s="5"/>
      <c r="AN609" s="5"/>
      <c r="AO609" s="5"/>
      <c r="AP609" s="5"/>
      <c r="AQ609" s="5"/>
      <c r="AR609" s="5"/>
    </row>
    <row r="610" ht="15.75" customHeight="1">
      <c r="A610" s="36"/>
      <c r="B610" s="37"/>
      <c r="C610" s="2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33"/>
      <c r="AL610" s="5"/>
      <c r="AM610" s="5"/>
      <c r="AN610" s="5"/>
      <c r="AO610" s="5"/>
      <c r="AP610" s="5"/>
      <c r="AQ610" s="5"/>
      <c r="AR610" s="5"/>
    </row>
    <row r="611" ht="15.75" customHeight="1">
      <c r="A611" s="36"/>
      <c r="B611" s="37"/>
      <c r="C611" s="2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33"/>
      <c r="AL611" s="5"/>
      <c r="AM611" s="5"/>
      <c r="AN611" s="5"/>
      <c r="AO611" s="5"/>
      <c r="AP611" s="5"/>
      <c r="AQ611" s="5"/>
      <c r="AR611" s="5"/>
    </row>
    <row r="612" ht="15.75" customHeight="1">
      <c r="A612" s="36"/>
      <c r="B612" s="37"/>
      <c r="C612" s="2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33"/>
      <c r="AL612" s="5"/>
      <c r="AM612" s="5"/>
      <c r="AN612" s="5"/>
      <c r="AO612" s="5"/>
      <c r="AP612" s="5"/>
      <c r="AQ612" s="5"/>
      <c r="AR612" s="5"/>
    </row>
    <row r="613" ht="15.75" customHeight="1">
      <c r="A613" s="36"/>
      <c r="B613" s="37"/>
      <c r="C613" s="2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33"/>
      <c r="AL613" s="5"/>
      <c r="AM613" s="5"/>
      <c r="AN613" s="5"/>
      <c r="AO613" s="5"/>
      <c r="AP613" s="5"/>
      <c r="AQ613" s="5"/>
      <c r="AR613" s="5"/>
    </row>
    <row r="614" ht="15.75" customHeight="1">
      <c r="A614" s="36"/>
      <c r="B614" s="37"/>
      <c r="C614" s="2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33"/>
      <c r="AL614" s="5"/>
      <c r="AM614" s="5"/>
      <c r="AN614" s="5"/>
      <c r="AO614" s="5"/>
      <c r="AP614" s="5"/>
      <c r="AQ614" s="5"/>
      <c r="AR614" s="5"/>
    </row>
    <row r="615" ht="15.75" customHeight="1">
      <c r="A615" s="36"/>
      <c r="B615" s="37"/>
      <c r="C615" s="2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33"/>
      <c r="AL615" s="5"/>
      <c r="AM615" s="5"/>
      <c r="AN615" s="5"/>
      <c r="AO615" s="5"/>
      <c r="AP615" s="5"/>
      <c r="AQ615" s="5"/>
      <c r="AR615" s="5"/>
    </row>
    <row r="616" ht="15.75" customHeight="1">
      <c r="A616" s="36"/>
      <c r="B616" s="37"/>
      <c r="C616" s="2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33"/>
      <c r="AL616" s="5"/>
      <c r="AM616" s="5"/>
      <c r="AN616" s="5"/>
      <c r="AO616" s="5"/>
      <c r="AP616" s="5"/>
      <c r="AQ616" s="5"/>
      <c r="AR616" s="5"/>
    </row>
    <row r="617" ht="15.75" customHeight="1">
      <c r="A617" s="36"/>
      <c r="B617" s="37"/>
      <c r="C617" s="2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33"/>
      <c r="AL617" s="5"/>
      <c r="AM617" s="5"/>
      <c r="AN617" s="5"/>
      <c r="AO617" s="5"/>
      <c r="AP617" s="5"/>
      <c r="AQ617" s="5"/>
      <c r="AR617" s="5"/>
    </row>
    <row r="618" ht="15.75" customHeight="1">
      <c r="A618" s="36"/>
      <c r="B618" s="37"/>
      <c r="C618" s="2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33"/>
      <c r="AL618" s="5"/>
      <c r="AM618" s="5"/>
      <c r="AN618" s="5"/>
      <c r="AO618" s="5"/>
      <c r="AP618" s="5"/>
      <c r="AQ618" s="5"/>
      <c r="AR618" s="5"/>
    </row>
    <row r="619" ht="15.75" customHeight="1">
      <c r="A619" s="36"/>
      <c r="B619" s="37"/>
      <c r="C619" s="2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33"/>
      <c r="AL619" s="5"/>
      <c r="AM619" s="5"/>
      <c r="AN619" s="5"/>
      <c r="AO619" s="5"/>
      <c r="AP619" s="5"/>
      <c r="AQ619" s="5"/>
      <c r="AR619" s="5"/>
    </row>
    <row r="620" ht="15.75" customHeight="1">
      <c r="A620" s="36"/>
      <c r="B620" s="37"/>
      <c r="C620" s="2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33"/>
      <c r="AL620" s="5"/>
      <c r="AM620" s="5"/>
      <c r="AN620" s="5"/>
      <c r="AO620" s="5"/>
      <c r="AP620" s="5"/>
      <c r="AQ620" s="5"/>
      <c r="AR620" s="5"/>
    </row>
    <row r="621" ht="15.75" customHeight="1">
      <c r="A621" s="36"/>
      <c r="B621" s="37"/>
      <c r="C621" s="2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33"/>
      <c r="AL621" s="5"/>
      <c r="AM621" s="5"/>
      <c r="AN621" s="5"/>
      <c r="AO621" s="5"/>
      <c r="AP621" s="5"/>
      <c r="AQ621" s="5"/>
      <c r="AR621" s="5"/>
    </row>
    <row r="622" ht="15.75" customHeight="1">
      <c r="A622" s="36"/>
      <c r="B622" s="37"/>
      <c r="C622" s="2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33"/>
      <c r="AL622" s="5"/>
      <c r="AM622" s="5"/>
      <c r="AN622" s="5"/>
      <c r="AO622" s="5"/>
      <c r="AP622" s="5"/>
      <c r="AQ622" s="5"/>
      <c r="AR622" s="5"/>
    </row>
    <row r="623" ht="15.75" customHeight="1">
      <c r="A623" s="36"/>
      <c r="B623" s="37"/>
      <c r="C623" s="2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33"/>
      <c r="AL623" s="5"/>
      <c r="AM623" s="5"/>
      <c r="AN623" s="5"/>
      <c r="AO623" s="5"/>
      <c r="AP623" s="5"/>
      <c r="AQ623" s="5"/>
      <c r="AR623" s="5"/>
    </row>
    <row r="624" ht="15.75" customHeight="1">
      <c r="A624" s="36"/>
      <c r="B624" s="37"/>
      <c r="C624" s="2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33"/>
      <c r="AL624" s="5"/>
      <c r="AM624" s="5"/>
      <c r="AN624" s="5"/>
      <c r="AO624" s="5"/>
      <c r="AP624" s="5"/>
      <c r="AQ624" s="5"/>
      <c r="AR624" s="5"/>
    </row>
    <row r="625" ht="15.75" customHeight="1">
      <c r="A625" s="36"/>
      <c r="B625" s="37"/>
      <c r="C625" s="2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33"/>
      <c r="AL625" s="5"/>
      <c r="AM625" s="5"/>
      <c r="AN625" s="5"/>
      <c r="AO625" s="5"/>
      <c r="AP625" s="5"/>
      <c r="AQ625" s="5"/>
      <c r="AR625" s="5"/>
    </row>
    <row r="626" ht="15.75" customHeight="1">
      <c r="A626" s="36"/>
      <c r="B626" s="37"/>
      <c r="C626" s="2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33"/>
      <c r="AL626" s="5"/>
      <c r="AM626" s="5"/>
      <c r="AN626" s="5"/>
      <c r="AO626" s="5"/>
      <c r="AP626" s="5"/>
      <c r="AQ626" s="5"/>
      <c r="AR626" s="5"/>
    </row>
    <row r="627" ht="15.75" customHeight="1">
      <c r="A627" s="36"/>
      <c r="B627" s="37"/>
      <c r="C627" s="2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33"/>
      <c r="AL627" s="5"/>
      <c r="AM627" s="5"/>
      <c r="AN627" s="5"/>
      <c r="AO627" s="5"/>
      <c r="AP627" s="5"/>
      <c r="AQ627" s="5"/>
      <c r="AR627" s="5"/>
    </row>
    <row r="628" ht="15.75" customHeight="1">
      <c r="A628" s="36"/>
      <c r="B628" s="37"/>
      <c r="C628" s="2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33"/>
      <c r="AL628" s="5"/>
      <c r="AM628" s="5"/>
      <c r="AN628" s="5"/>
      <c r="AO628" s="5"/>
      <c r="AP628" s="5"/>
      <c r="AQ628" s="5"/>
      <c r="AR628" s="5"/>
    </row>
    <row r="629" ht="15.75" customHeight="1">
      <c r="A629" s="36"/>
      <c r="B629" s="37"/>
      <c r="C629" s="2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33"/>
      <c r="AL629" s="5"/>
      <c r="AM629" s="5"/>
      <c r="AN629" s="5"/>
      <c r="AO629" s="5"/>
      <c r="AP629" s="5"/>
      <c r="AQ629" s="5"/>
      <c r="AR629" s="5"/>
    </row>
    <row r="630" ht="15.75" customHeight="1">
      <c r="A630" s="36"/>
      <c r="B630" s="37"/>
      <c r="C630" s="2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33"/>
      <c r="AL630" s="5"/>
      <c r="AM630" s="5"/>
      <c r="AN630" s="5"/>
      <c r="AO630" s="5"/>
      <c r="AP630" s="5"/>
      <c r="AQ630" s="5"/>
      <c r="AR630" s="5"/>
    </row>
    <row r="631" ht="15.75" customHeight="1">
      <c r="A631" s="36"/>
      <c r="B631" s="37"/>
      <c r="C631" s="2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33"/>
      <c r="AL631" s="5"/>
      <c r="AM631" s="5"/>
      <c r="AN631" s="5"/>
      <c r="AO631" s="5"/>
      <c r="AP631" s="5"/>
      <c r="AQ631" s="5"/>
      <c r="AR631" s="5"/>
    </row>
    <row r="632" ht="15.75" customHeight="1">
      <c r="A632" s="36"/>
      <c r="B632" s="37"/>
      <c r="C632" s="2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33"/>
      <c r="AL632" s="5"/>
      <c r="AM632" s="5"/>
      <c r="AN632" s="5"/>
      <c r="AO632" s="5"/>
      <c r="AP632" s="5"/>
      <c r="AQ632" s="5"/>
      <c r="AR632" s="5"/>
    </row>
    <row r="633" ht="15.75" customHeight="1">
      <c r="A633" s="36"/>
      <c r="B633" s="37"/>
      <c r="C633" s="2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33"/>
      <c r="AL633" s="5"/>
      <c r="AM633" s="5"/>
      <c r="AN633" s="5"/>
      <c r="AO633" s="5"/>
      <c r="AP633" s="5"/>
      <c r="AQ633" s="5"/>
      <c r="AR633" s="5"/>
    </row>
    <row r="634" ht="15.75" customHeight="1">
      <c r="A634" s="36"/>
      <c r="B634" s="37"/>
      <c r="C634" s="2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33"/>
      <c r="AL634" s="5"/>
      <c r="AM634" s="5"/>
      <c r="AN634" s="5"/>
      <c r="AO634" s="5"/>
      <c r="AP634" s="5"/>
      <c r="AQ634" s="5"/>
      <c r="AR634" s="5"/>
    </row>
    <row r="635" ht="15.75" customHeight="1">
      <c r="A635" s="36"/>
      <c r="B635" s="37"/>
      <c r="C635" s="2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33"/>
      <c r="AL635" s="5"/>
      <c r="AM635" s="5"/>
      <c r="AN635" s="5"/>
      <c r="AO635" s="5"/>
      <c r="AP635" s="5"/>
      <c r="AQ635" s="5"/>
      <c r="AR635" s="5"/>
    </row>
    <row r="636" ht="15.75" customHeight="1">
      <c r="A636" s="36"/>
      <c r="B636" s="37"/>
      <c r="C636" s="2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33"/>
      <c r="AL636" s="5"/>
      <c r="AM636" s="5"/>
      <c r="AN636" s="5"/>
      <c r="AO636" s="5"/>
      <c r="AP636" s="5"/>
      <c r="AQ636" s="5"/>
      <c r="AR636" s="5"/>
    </row>
    <row r="637" ht="15.75" customHeight="1">
      <c r="A637" s="36"/>
      <c r="B637" s="37"/>
      <c r="C637" s="2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33"/>
      <c r="AL637" s="5"/>
      <c r="AM637" s="5"/>
      <c r="AN637" s="5"/>
      <c r="AO637" s="5"/>
      <c r="AP637" s="5"/>
      <c r="AQ637" s="5"/>
      <c r="AR637" s="5"/>
    </row>
    <row r="638" ht="15.75" customHeight="1">
      <c r="A638" s="36"/>
      <c r="B638" s="37"/>
      <c r="C638" s="2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33"/>
      <c r="AL638" s="5"/>
      <c r="AM638" s="5"/>
      <c r="AN638" s="5"/>
      <c r="AO638" s="5"/>
      <c r="AP638" s="5"/>
      <c r="AQ638" s="5"/>
      <c r="AR638" s="5"/>
    </row>
    <row r="639" ht="15.75" customHeight="1">
      <c r="A639" s="36"/>
      <c r="B639" s="37"/>
      <c r="C639" s="2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33"/>
      <c r="AL639" s="5"/>
      <c r="AM639" s="5"/>
      <c r="AN639" s="5"/>
      <c r="AO639" s="5"/>
      <c r="AP639" s="5"/>
      <c r="AQ639" s="5"/>
      <c r="AR639" s="5"/>
    </row>
    <row r="640" ht="15.75" customHeight="1">
      <c r="A640" s="36"/>
      <c r="B640" s="37"/>
      <c r="C640" s="2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33"/>
      <c r="AL640" s="5"/>
      <c r="AM640" s="5"/>
      <c r="AN640" s="5"/>
      <c r="AO640" s="5"/>
      <c r="AP640" s="5"/>
      <c r="AQ640" s="5"/>
      <c r="AR640" s="5"/>
    </row>
    <row r="641" ht="15.75" customHeight="1">
      <c r="A641" s="36"/>
      <c r="B641" s="37"/>
      <c r="C641" s="2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33"/>
      <c r="AL641" s="5"/>
      <c r="AM641" s="5"/>
      <c r="AN641" s="5"/>
      <c r="AO641" s="5"/>
      <c r="AP641" s="5"/>
      <c r="AQ641" s="5"/>
      <c r="AR641" s="5"/>
    </row>
    <row r="642" ht="15.75" customHeight="1">
      <c r="A642" s="36"/>
      <c r="B642" s="37"/>
      <c r="C642" s="2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33"/>
      <c r="AL642" s="5"/>
      <c r="AM642" s="5"/>
      <c r="AN642" s="5"/>
      <c r="AO642" s="5"/>
      <c r="AP642" s="5"/>
      <c r="AQ642" s="5"/>
      <c r="AR642" s="5"/>
    </row>
    <row r="643" ht="15.75" customHeight="1">
      <c r="A643" s="36"/>
      <c r="B643" s="37"/>
      <c r="C643" s="2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33"/>
      <c r="AL643" s="5"/>
      <c r="AM643" s="5"/>
      <c r="AN643" s="5"/>
      <c r="AO643" s="5"/>
      <c r="AP643" s="5"/>
      <c r="AQ643" s="5"/>
      <c r="AR643" s="5"/>
    </row>
    <row r="644" ht="15.75" customHeight="1">
      <c r="A644" s="36"/>
      <c r="B644" s="37"/>
      <c r="C644" s="2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33"/>
      <c r="AL644" s="5"/>
      <c r="AM644" s="5"/>
      <c r="AN644" s="5"/>
      <c r="AO644" s="5"/>
      <c r="AP644" s="5"/>
      <c r="AQ644" s="5"/>
      <c r="AR644" s="5"/>
    </row>
    <row r="645" ht="15.75" customHeight="1">
      <c r="A645" s="36"/>
      <c r="B645" s="37"/>
      <c r="C645" s="2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33"/>
      <c r="AL645" s="5"/>
      <c r="AM645" s="5"/>
      <c r="AN645" s="5"/>
      <c r="AO645" s="5"/>
      <c r="AP645" s="5"/>
      <c r="AQ645" s="5"/>
      <c r="AR645" s="5"/>
    </row>
    <row r="646" ht="15.75" customHeight="1">
      <c r="A646" s="36"/>
      <c r="B646" s="37"/>
      <c r="C646" s="2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33"/>
      <c r="AL646" s="5"/>
      <c r="AM646" s="5"/>
      <c r="AN646" s="5"/>
      <c r="AO646" s="5"/>
      <c r="AP646" s="5"/>
      <c r="AQ646" s="5"/>
      <c r="AR646" s="5"/>
    </row>
    <row r="647" ht="15.75" customHeight="1">
      <c r="A647" s="36"/>
      <c r="B647" s="37"/>
      <c r="C647" s="2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33"/>
      <c r="AL647" s="5"/>
      <c r="AM647" s="5"/>
      <c r="AN647" s="5"/>
      <c r="AO647" s="5"/>
      <c r="AP647" s="5"/>
      <c r="AQ647" s="5"/>
      <c r="AR647" s="5"/>
    </row>
    <row r="648" ht="15.75" customHeight="1">
      <c r="A648" s="36"/>
      <c r="B648" s="37"/>
      <c r="C648" s="2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33"/>
      <c r="AL648" s="5"/>
      <c r="AM648" s="5"/>
      <c r="AN648" s="5"/>
      <c r="AO648" s="5"/>
      <c r="AP648" s="5"/>
      <c r="AQ648" s="5"/>
      <c r="AR648" s="5"/>
    </row>
    <row r="649" ht="15.75" customHeight="1">
      <c r="A649" s="36"/>
      <c r="B649" s="37"/>
      <c r="C649" s="2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33"/>
      <c r="AL649" s="5"/>
      <c r="AM649" s="5"/>
      <c r="AN649" s="5"/>
      <c r="AO649" s="5"/>
      <c r="AP649" s="5"/>
      <c r="AQ649" s="5"/>
      <c r="AR649" s="5"/>
    </row>
    <row r="650" ht="15.75" customHeight="1">
      <c r="A650" s="36"/>
      <c r="B650" s="37"/>
      <c r="C650" s="2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33"/>
      <c r="AL650" s="5"/>
      <c r="AM650" s="5"/>
      <c r="AN650" s="5"/>
      <c r="AO650" s="5"/>
      <c r="AP650" s="5"/>
      <c r="AQ650" s="5"/>
      <c r="AR650" s="5"/>
    </row>
    <row r="651" ht="15.75" customHeight="1">
      <c r="A651" s="36"/>
      <c r="B651" s="37"/>
      <c r="C651" s="2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33"/>
      <c r="AL651" s="5"/>
      <c r="AM651" s="5"/>
      <c r="AN651" s="5"/>
      <c r="AO651" s="5"/>
      <c r="AP651" s="5"/>
      <c r="AQ651" s="5"/>
      <c r="AR651" s="5"/>
    </row>
    <row r="652" ht="15.75" customHeight="1">
      <c r="A652" s="36"/>
      <c r="B652" s="37"/>
      <c r="C652" s="2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33"/>
      <c r="AL652" s="5"/>
      <c r="AM652" s="5"/>
      <c r="AN652" s="5"/>
      <c r="AO652" s="5"/>
      <c r="AP652" s="5"/>
      <c r="AQ652" s="5"/>
      <c r="AR652" s="5"/>
    </row>
    <row r="653" ht="15.75" customHeight="1">
      <c r="A653" s="36"/>
      <c r="B653" s="37"/>
      <c r="C653" s="2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33"/>
      <c r="AL653" s="5"/>
      <c r="AM653" s="5"/>
      <c r="AN653" s="5"/>
      <c r="AO653" s="5"/>
      <c r="AP653" s="5"/>
      <c r="AQ653" s="5"/>
      <c r="AR653" s="5"/>
    </row>
    <row r="654" ht="15.75" customHeight="1">
      <c r="A654" s="36"/>
      <c r="B654" s="37"/>
      <c r="C654" s="2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33"/>
      <c r="AL654" s="5"/>
      <c r="AM654" s="5"/>
      <c r="AN654" s="5"/>
      <c r="AO654" s="5"/>
      <c r="AP654" s="5"/>
      <c r="AQ654" s="5"/>
      <c r="AR654" s="5"/>
    </row>
    <row r="655" ht="15.75" customHeight="1">
      <c r="A655" s="36"/>
      <c r="B655" s="37"/>
      <c r="C655" s="2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33"/>
      <c r="AL655" s="5"/>
      <c r="AM655" s="5"/>
      <c r="AN655" s="5"/>
      <c r="AO655" s="5"/>
      <c r="AP655" s="5"/>
      <c r="AQ655" s="5"/>
      <c r="AR655" s="5"/>
    </row>
    <row r="656" ht="15.75" customHeight="1">
      <c r="A656" s="36"/>
      <c r="B656" s="37"/>
      <c r="C656" s="2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33"/>
      <c r="AL656" s="5"/>
      <c r="AM656" s="5"/>
      <c r="AN656" s="5"/>
      <c r="AO656" s="5"/>
      <c r="AP656" s="5"/>
      <c r="AQ656" s="5"/>
      <c r="AR656" s="5"/>
    </row>
    <row r="657" ht="15.75" customHeight="1">
      <c r="A657" s="36"/>
      <c r="B657" s="37"/>
      <c r="C657" s="2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33"/>
      <c r="AL657" s="5"/>
      <c r="AM657" s="5"/>
      <c r="AN657" s="5"/>
      <c r="AO657" s="5"/>
      <c r="AP657" s="5"/>
      <c r="AQ657" s="5"/>
      <c r="AR657" s="5"/>
    </row>
    <row r="658" ht="15.75" customHeight="1">
      <c r="A658" s="36"/>
      <c r="B658" s="37"/>
      <c r="C658" s="2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33"/>
      <c r="AL658" s="5"/>
      <c r="AM658" s="5"/>
      <c r="AN658" s="5"/>
      <c r="AO658" s="5"/>
      <c r="AP658" s="5"/>
      <c r="AQ658" s="5"/>
      <c r="AR658" s="5"/>
    </row>
    <row r="659" ht="15.75" customHeight="1">
      <c r="A659" s="36"/>
      <c r="B659" s="37"/>
      <c r="C659" s="2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33"/>
      <c r="AL659" s="5"/>
      <c r="AM659" s="5"/>
      <c r="AN659" s="5"/>
      <c r="AO659" s="5"/>
      <c r="AP659" s="5"/>
      <c r="AQ659" s="5"/>
      <c r="AR659" s="5"/>
    </row>
    <row r="660" ht="15.75" customHeight="1">
      <c r="A660" s="36"/>
      <c r="B660" s="37"/>
      <c r="C660" s="2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33"/>
      <c r="AL660" s="5"/>
      <c r="AM660" s="5"/>
      <c r="AN660" s="5"/>
      <c r="AO660" s="5"/>
      <c r="AP660" s="5"/>
      <c r="AQ660" s="5"/>
      <c r="AR660" s="5"/>
    </row>
    <row r="661" ht="15.75" customHeight="1">
      <c r="A661" s="36"/>
      <c r="B661" s="37"/>
      <c r="C661" s="2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33"/>
      <c r="AL661" s="5"/>
      <c r="AM661" s="5"/>
      <c r="AN661" s="5"/>
      <c r="AO661" s="5"/>
      <c r="AP661" s="5"/>
      <c r="AQ661" s="5"/>
      <c r="AR661" s="5"/>
    </row>
    <row r="662" ht="15.75" customHeight="1">
      <c r="A662" s="36"/>
      <c r="B662" s="37"/>
      <c r="C662" s="2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33"/>
      <c r="AL662" s="5"/>
      <c r="AM662" s="5"/>
      <c r="AN662" s="5"/>
      <c r="AO662" s="5"/>
      <c r="AP662" s="5"/>
      <c r="AQ662" s="5"/>
      <c r="AR662" s="5"/>
    </row>
    <row r="663" ht="15.75" customHeight="1">
      <c r="A663" s="36"/>
      <c r="B663" s="37"/>
      <c r="C663" s="2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33"/>
      <c r="AL663" s="5"/>
      <c r="AM663" s="5"/>
      <c r="AN663" s="5"/>
      <c r="AO663" s="5"/>
      <c r="AP663" s="5"/>
      <c r="AQ663" s="5"/>
      <c r="AR663" s="5"/>
    </row>
    <row r="664" ht="15.75" customHeight="1">
      <c r="A664" s="36"/>
      <c r="B664" s="37"/>
      <c r="C664" s="2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33"/>
      <c r="AL664" s="5"/>
      <c r="AM664" s="5"/>
      <c r="AN664" s="5"/>
      <c r="AO664" s="5"/>
      <c r="AP664" s="5"/>
      <c r="AQ664" s="5"/>
      <c r="AR664" s="5"/>
    </row>
    <row r="665" ht="15.75" customHeight="1">
      <c r="A665" s="36"/>
      <c r="B665" s="37"/>
      <c r="C665" s="2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33"/>
      <c r="AL665" s="5"/>
      <c r="AM665" s="5"/>
      <c r="AN665" s="5"/>
      <c r="AO665" s="5"/>
      <c r="AP665" s="5"/>
      <c r="AQ665" s="5"/>
      <c r="AR665" s="5"/>
    </row>
    <row r="666" ht="15.75" customHeight="1">
      <c r="A666" s="36"/>
      <c r="B666" s="37"/>
      <c r="C666" s="2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33"/>
      <c r="AL666" s="5"/>
      <c r="AM666" s="5"/>
      <c r="AN666" s="5"/>
      <c r="AO666" s="5"/>
      <c r="AP666" s="5"/>
      <c r="AQ666" s="5"/>
      <c r="AR666" s="5"/>
    </row>
    <row r="667" ht="15.75" customHeight="1">
      <c r="A667" s="36"/>
      <c r="B667" s="37"/>
      <c r="C667" s="2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33"/>
      <c r="AL667" s="5"/>
      <c r="AM667" s="5"/>
      <c r="AN667" s="5"/>
      <c r="AO667" s="5"/>
      <c r="AP667" s="5"/>
      <c r="AQ667" s="5"/>
      <c r="AR667" s="5"/>
    </row>
    <row r="668" ht="15.75" customHeight="1">
      <c r="A668" s="36"/>
      <c r="B668" s="37"/>
      <c r="C668" s="2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33"/>
      <c r="AL668" s="5"/>
      <c r="AM668" s="5"/>
      <c r="AN668" s="5"/>
      <c r="AO668" s="5"/>
      <c r="AP668" s="5"/>
      <c r="AQ668" s="5"/>
      <c r="AR668" s="5"/>
    </row>
    <row r="669" ht="15.75" customHeight="1">
      <c r="A669" s="36"/>
      <c r="B669" s="37"/>
      <c r="C669" s="2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33"/>
      <c r="AL669" s="5"/>
      <c r="AM669" s="5"/>
      <c r="AN669" s="5"/>
      <c r="AO669" s="5"/>
      <c r="AP669" s="5"/>
      <c r="AQ669" s="5"/>
      <c r="AR669" s="5"/>
    </row>
    <row r="670" ht="15.75" customHeight="1">
      <c r="A670" s="36"/>
      <c r="B670" s="37"/>
      <c r="C670" s="2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33"/>
      <c r="AL670" s="5"/>
      <c r="AM670" s="5"/>
      <c r="AN670" s="5"/>
      <c r="AO670" s="5"/>
      <c r="AP670" s="5"/>
      <c r="AQ670" s="5"/>
      <c r="AR670" s="5"/>
    </row>
    <row r="671" ht="15.75" customHeight="1">
      <c r="A671" s="36"/>
      <c r="B671" s="37"/>
      <c r="C671" s="2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33"/>
      <c r="AL671" s="5"/>
      <c r="AM671" s="5"/>
      <c r="AN671" s="5"/>
      <c r="AO671" s="5"/>
      <c r="AP671" s="5"/>
      <c r="AQ671" s="5"/>
      <c r="AR671" s="5"/>
    </row>
    <row r="672" ht="15.75" customHeight="1">
      <c r="A672" s="36"/>
      <c r="B672" s="37"/>
      <c r="C672" s="2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33"/>
      <c r="AL672" s="5"/>
      <c r="AM672" s="5"/>
      <c r="AN672" s="5"/>
      <c r="AO672" s="5"/>
      <c r="AP672" s="5"/>
      <c r="AQ672" s="5"/>
      <c r="AR672" s="5"/>
    </row>
    <row r="673" ht="15.75" customHeight="1">
      <c r="A673" s="36"/>
      <c r="B673" s="37"/>
      <c r="C673" s="2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33"/>
      <c r="AL673" s="5"/>
      <c r="AM673" s="5"/>
      <c r="AN673" s="5"/>
      <c r="AO673" s="5"/>
      <c r="AP673" s="5"/>
      <c r="AQ673" s="5"/>
      <c r="AR673" s="5"/>
    </row>
    <row r="674" ht="15.75" customHeight="1">
      <c r="A674" s="36"/>
      <c r="B674" s="37"/>
      <c r="C674" s="2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33"/>
      <c r="AL674" s="5"/>
      <c r="AM674" s="5"/>
      <c r="AN674" s="5"/>
      <c r="AO674" s="5"/>
      <c r="AP674" s="5"/>
      <c r="AQ674" s="5"/>
      <c r="AR674" s="5"/>
    </row>
    <row r="675" ht="15.75" customHeight="1">
      <c r="A675" s="36"/>
      <c r="B675" s="37"/>
      <c r="C675" s="2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33"/>
      <c r="AL675" s="5"/>
      <c r="AM675" s="5"/>
      <c r="AN675" s="5"/>
      <c r="AO675" s="5"/>
      <c r="AP675" s="5"/>
      <c r="AQ675" s="5"/>
      <c r="AR675" s="5"/>
    </row>
    <row r="676" ht="15.75" customHeight="1">
      <c r="A676" s="36"/>
      <c r="B676" s="37"/>
      <c r="C676" s="2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33"/>
      <c r="AL676" s="5"/>
      <c r="AM676" s="5"/>
      <c r="AN676" s="5"/>
      <c r="AO676" s="5"/>
      <c r="AP676" s="5"/>
      <c r="AQ676" s="5"/>
      <c r="AR676" s="5"/>
    </row>
    <row r="677" ht="15.75" customHeight="1">
      <c r="A677" s="36"/>
      <c r="B677" s="37"/>
      <c r="C677" s="2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33"/>
      <c r="AL677" s="5"/>
      <c r="AM677" s="5"/>
      <c r="AN677" s="5"/>
      <c r="AO677" s="5"/>
      <c r="AP677" s="5"/>
      <c r="AQ677" s="5"/>
      <c r="AR677" s="5"/>
    </row>
    <row r="678" ht="15.75" customHeight="1">
      <c r="A678" s="36"/>
      <c r="B678" s="37"/>
      <c r="C678" s="2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33"/>
      <c r="AL678" s="5"/>
      <c r="AM678" s="5"/>
      <c r="AN678" s="5"/>
      <c r="AO678" s="5"/>
      <c r="AP678" s="5"/>
      <c r="AQ678" s="5"/>
      <c r="AR678" s="5"/>
    </row>
    <row r="679" ht="15.75" customHeight="1">
      <c r="A679" s="36"/>
      <c r="B679" s="37"/>
      <c r="C679" s="2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33"/>
      <c r="AL679" s="5"/>
      <c r="AM679" s="5"/>
      <c r="AN679" s="5"/>
      <c r="AO679" s="5"/>
      <c r="AP679" s="5"/>
      <c r="AQ679" s="5"/>
      <c r="AR679" s="5"/>
    </row>
    <row r="680" ht="15.75" customHeight="1">
      <c r="A680" s="36"/>
      <c r="B680" s="37"/>
      <c r="C680" s="2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33"/>
      <c r="AL680" s="5"/>
      <c r="AM680" s="5"/>
      <c r="AN680" s="5"/>
      <c r="AO680" s="5"/>
      <c r="AP680" s="5"/>
      <c r="AQ680" s="5"/>
      <c r="AR680" s="5"/>
    </row>
    <row r="681" ht="15.75" customHeight="1">
      <c r="A681" s="36"/>
      <c r="B681" s="37"/>
      <c r="C681" s="2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33"/>
      <c r="AL681" s="5"/>
      <c r="AM681" s="5"/>
      <c r="AN681" s="5"/>
      <c r="AO681" s="5"/>
      <c r="AP681" s="5"/>
      <c r="AQ681" s="5"/>
      <c r="AR681" s="5"/>
    </row>
    <row r="682" ht="15.75" customHeight="1">
      <c r="A682" s="36"/>
      <c r="B682" s="37"/>
      <c r="C682" s="2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33"/>
      <c r="AL682" s="5"/>
      <c r="AM682" s="5"/>
      <c r="AN682" s="5"/>
      <c r="AO682" s="5"/>
      <c r="AP682" s="5"/>
      <c r="AQ682" s="5"/>
      <c r="AR682" s="5"/>
    </row>
    <row r="683" ht="15.75" customHeight="1">
      <c r="A683" s="36"/>
      <c r="B683" s="37"/>
      <c r="C683" s="2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33"/>
      <c r="AL683" s="5"/>
      <c r="AM683" s="5"/>
      <c r="AN683" s="5"/>
      <c r="AO683" s="5"/>
      <c r="AP683" s="5"/>
      <c r="AQ683" s="5"/>
      <c r="AR683" s="5"/>
    </row>
    <row r="684" ht="15.75" customHeight="1">
      <c r="A684" s="36"/>
      <c r="B684" s="37"/>
      <c r="C684" s="2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33"/>
      <c r="AL684" s="5"/>
      <c r="AM684" s="5"/>
      <c r="AN684" s="5"/>
      <c r="AO684" s="5"/>
      <c r="AP684" s="5"/>
      <c r="AQ684" s="5"/>
      <c r="AR684" s="5"/>
    </row>
    <row r="685" ht="15.75" customHeight="1">
      <c r="A685" s="36"/>
      <c r="B685" s="37"/>
      <c r="C685" s="2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33"/>
      <c r="AL685" s="5"/>
      <c r="AM685" s="5"/>
      <c r="AN685" s="5"/>
      <c r="AO685" s="5"/>
      <c r="AP685" s="5"/>
      <c r="AQ685" s="5"/>
      <c r="AR685" s="5"/>
    </row>
    <row r="686" ht="15.75" customHeight="1">
      <c r="A686" s="36"/>
      <c r="B686" s="37"/>
      <c r="C686" s="2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33"/>
      <c r="AL686" s="5"/>
      <c r="AM686" s="5"/>
      <c r="AN686" s="5"/>
      <c r="AO686" s="5"/>
      <c r="AP686" s="5"/>
      <c r="AQ686" s="5"/>
      <c r="AR686" s="5"/>
    </row>
    <row r="687" ht="15.75" customHeight="1">
      <c r="A687" s="36"/>
      <c r="B687" s="37"/>
      <c r="C687" s="2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33"/>
      <c r="AL687" s="5"/>
      <c r="AM687" s="5"/>
      <c r="AN687" s="5"/>
      <c r="AO687" s="5"/>
      <c r="AP687" s="5"/>
      <c r="AQ687" s="5"/>
      <c r="AR687" s="5"/>
    </row>
    <row r="688" ht="15.75" customHeight="1">
      <c r="A688" s="36"/>
      <c r="B688" s="37"/>
      <c r="C688" s="2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33"/>
      <c r="AL688" s="5"/>
      <c r="AM688" s="5"/>
      <c r="AN688" s="5"/>
      <c r="AO688" s="5"/>
      <c r="AP688" s="5"/>
      <c r="AQ688" s="5"/>
      <c r="AR688" s="5"/>
    </row>
    <row r="689" ht="15.75" customHeight="1">
      <c r="A689" s="36"/>
      <c r="B689" s="37"/>
      <c r="C689" s="2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33"/>
      <c r="AL689" s="5"/>
      <c r="AM689" s="5"/>
      <c r="AN689" s="5"/>
      <c r="AO689" s="5"/>
      <c r="AP689" s="5"/>
      <c r="AQ689" s="5"/>
      <c r="AR689" s="5"/>
    </row>
    <row r="690" ht="15.75" customHeight="1">
      <c r="A690" s="36"/>
      <c r="B690" s="37"/>
      <c r="C690" s="2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33"/>
      <c r="AL690" s="5"/>
      <c r="AM690" s="5"/>
      <c r="AN690" s="5"/>
      <c r="AO690" s="5"/>
      <c r="AP690" s="5"/>
      <c r="AQ690" s="5"/>
      <c r="AR690" s="5"/>
    </row>
    <row r="691" ht="15.75" customHeight="1">
      <c r="A691" s="36"/>
      <c r="B691" s="37"/>
      <c r="C691" s="2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33"/>
      <c r="AL691" s="5"/>
      <c r="AM691" s="5"/>
      <c r="AN691" s="5"/>
      <c r="AO691" s="5"/>
      <c r="AP691" s="5"/>
      <c r="AQ691" s="5"/>
      <c r="AR691" s="5"/>
    </row>
    <row r="692" ht="15.75" customHeight="1">
      <c r="A692" s="36"/>
      <c r="B692" s="37"/>
      <c r="C692" s="2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33"/>
      <c r="AL692" s="5"/>
      <c r="AM692" s="5"/>
      <c r="AN692" s="5"/>
      <c r="AO692" s="5"/>
      <c r="AP692" s="5"/>
      <c r="AQ692" s="5"/>
      <c r="AR692" s="5"/>
    </row>
    <row r="693" ht="15.75" customHeight="1">
      <c r="A693" s="36"/>
      <c r="B693" s="37"/>
      <c r="C693" s="2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33"/>
      <c r="AL693" s="5"/>
      <c r="AM693" s="5"/>
      <c r="AN693" s="5"/>
      <c r="AO693" s="5"/>
      <c r="AP693" s="5"/>
      <c r="AQ693" s="5"/>
      <c r="AR693" s="5"/>
    </row>
    <row r="694" ht="15.75" customHeight="1">
      <c r="A694" s="36"/>
      <c r="B694" s="37"/>
      <c r="C694" s="2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33"/>
      <c r="AL694" s="5"/>
      <c r="AM694" s="5"/>
      <c r="AN694" s="5"/>
      <c r="AO694" s="5"/>
      <c r="AP694" s="5"/>
      <c r="AQ694" s="5"/>
      <c r="AR694" s="5"/>
    </row>
    <row r="695" ht="15.75" customHeight="1">
      <c r="A695" s="36"/>
      <c r="B695" s="37"/>
      <c r="C695" s="2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33"/>
      <c r="AL695" s="5"/>
      <c r="AM695" s="5"/>
      <c r="AN695" s="5"/>
      <c r="AO695" s="5"/>
      <c r="AP695" s="5"/>
      <c r="AQ695" s="5"/>
      <c r="AR695" s="5"/>
    </row>
    <row r="696" ht="15.75" customHeight="1">
      <c r="A696" s="36"/>
      <c r="B696" s="37"/>
      <c r="C696" s="2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33"/>
      <c r="AL696" s="5"/>
      <c r="AM696" s="5"/>
      <c r="AN696" s="5"/>
      <c r="AO696" s="5"/>
      <c r="AP696" s="5"/>
      <c r="AQ696" s="5"/>
      <c r="AR696" s="5"/>
    </row>
    <row r="697" ht="15.75" customHeight="1">
      <c r="A697" s="36"/>
      <c r="B697" s="37"/>
      <c r="C697" s="2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33"/>
      <c r="AL697" s="5"/>
      <c r="AM697" s="5"/>
      <c r="AN697" s="5"/>
      <c r="AO697" s="5"/>
      <c r="AP697" s="5"/>
      <c r="AQ697" s="5"/>
      <c r="AR697" s="5"/>
    </row>
    <row r="698" ht="15.75" customHeight="1">
      <c r="A698" s="36"/>
      <c r="B698" s="37"/>
      <c r="C698" s="2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33"/>
      <c r="AL698" s="5"/>
      <c r="AM698" s="5"/>
      <c r="AN698" s="5"/>
      <c r="AO698" s="5"/>
      <c r="AP698" s="5"/>
      <c r="AQ698" s="5"/>
      <c r="AR698" s="5"/>
    </row>
    <row r="699" ht="15.75" customHeight="1">
      <c r="A699" s="36"/>
      <c r="B699" s="37"/>
      <c r="C699" s="2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33"/>
      <c r="AL699" s="5"/>
      <c r="AM699" s="5"/>
      <c r="AN699" s="5"/>
      <c r="AO699" s="5"/>
      <c r="AP699" s="5"/>
      <c r="AQ699" s="5"/>
      <c r="AR699" s="5"/>
    </row>
    <row r="700" ht="15.75" customHeight="1">
      <c r="A700" s="36"/>
      <c r="B700" s="37"/>
      <c r="C700" s="2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33"/>
      <c r="AL700" s="5"/>
      <c r="AM700" s="5"/>
      <c r="AN700" s="5"/>
      <c r="AO700" s="5"/>
      <c r="AP700" s="5"/>
      <c r="AQ700" s="5"/>
      <c r="AR700" s="5"/>
    </row>
    <row r="701" ht="15.75" customHeight="1">
      <c r="A701" s="36"/>
      <c r="B701" s="37"/>
      <c r="C701" s="2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33"/>
      <c r="AL701" s="5"/>
      <c r="AM701" s="5"/>
      <c r="AN701" s="5"/>
      <c r="AO701" s="5"/>
      <c r="AP701" s="5"/>
      <c r="AQ701" s="5"/>
      <c r="AR701" s="5"/>
    </row>
    <row r="702" ht="15.75" customHeight="1">
      <c r="A702" s="36"/>
      <c r="B702" s="37"/>
      <c r="C702" s="2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33"/>
      <c r="AL702" s="5"/>
      <c r="AM702" s="5"/>
      <c r="AN702" s="5"/>
      <c r="AO702" s="5"/>
      <c r="AP702" s="5"/>
      <c r="AQ702" s="5"/>
      <c r="AR702" s="5"/>
    </row>
    <row r="703" ht="15.75" customHeight="1">
      <c r="A703" s="36"/>
      <c r="B703" s="37"/>
      <c r="C703" s="2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33"/>
      <c r="AL703" s="5"/>
      <c r="AM703" s="5"/>
      <c r="AN703" s="5"/>
      <c r="AO703" s="5"/>
      <c r="AP703" s="5"/>
      <c r="AQ703" s="5"/>
      <c r="AR703" s="5"/>
    </row>
    <row r="704" ht="15.75" customHeight="1">
      <c r="A704" s="36"/>
      <c r="B704" s="37"/>
      <c r="C704" s="2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33"/>
      <c r="AL704" s="5"/>
      <c r="AM704" s="5"/>
      <c r="AN704" s="5"/>
      <c r="AO704" s="5"/>
      <c r="AP704" s="5"/>
      <c r="AQ704" s="5"/>
      <c r="AR704" s="5"/>
    </row>
    <row r="705" ht="15.75" customHeight="1">
      <c r="A705" s="36"/>
      <c r="B705" s="37"/>
      <c r="C705" s="2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33"/>
      <c r="AL705" s="5"/>
      <c r="AM705" s="5"/>
      <c r="AN705" s="5"/>
      <c r="AO705" s="5"/>
      <c r="AP705" s="5"/>
      <c r="AQ705" s="5"/>
      <c r="AR705" s="5"/>
    </row>
    <row r="706" ht="15.75" customHeight="1">
      <c r="A706" s="36"/>
      <c r="B706" s="37"/>
      <c r="C706" s="2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33"/>
      <c r="AL706" s="5"/>
      <c r="AM706" s="5"/>
      <c r="AN706" s="5"/>
      <c r="AO706" s="5"/>
      <c r="AP706" s="5"/>
      <c r="AQ706" s="5"/>
      <c r="AR706" s="5"/>
    </row>
    <row r="707" ht="15.75" customHeight="1">
      <c r="A707" s="36"/>
      <c r="B707" s="37"/>
      <c r="C707" s="2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33"/>
      <c r="AL707" s="5"/>
      <c r="AM707" s="5"/>
      <c r="AN707" s="5"/>
      <c r="AO707" s="5"/>
      <c r="AP707" s="5"/>
      <c r="AQ707" s="5"/>
      <c r="AR707" s="5"/>
    </row>
    <row r="708" ht="15.75" customHeight="1">
      <c r="A708" s="36"/>
      <c r="B708" s="37"/>
      <c r="C708" s="2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33"/>
      <c r="AL708" s="5"/>
      <c r="AM708" s="5"/>
      <c r="AN708" s="5"/>
      <c r="AO708" s="5"/>
      <c r="AP708" s="5"/>
      <c r="AQ708" s="5"/>
      <c r="AR708" s="5"/>
    </row>
    <row r="709" ht="15.75" customHeight="1">
      <c r="A709" s="36"/>
      <c r="B709" s="37"/>
      <c r="C709" s="2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33"/>
      <c r="AL709" s="5"/>
      <c r="AM709" s="5"/>
      <c r="AN709" s="5"/>
      <c r="AO709" s="5"/>
      <c r="AP709" s="5"/>
      <c r="AQ709" s="5"/>
      <c r="AR709" s="5"/>
    </row>
    <row r="710" ht="15.75" customHeight="1">
      <c r="A710" s="36"/>
      <c r="B710" s="37"/>
      <c r="C710" s="2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33"/>
      <c r="AL710" s="5"/>
      <c r="AM710" s="5"/>
      <c r="AN710" s="5"/>
      <c r="AO710" s="5"/>
      <c r="AP710" s="5"/>
      <c r="AQ710" s="5"/>
      <c r="AR710" s="5"/>
    </row>
    <row r="711" ht="15.75" customHeight="1">
      <c r="A711" s="36"/>
      <c r="B711" s="37"/>
      <c r="C711" s="2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33"/>
      <c r="AL711" s="5"/>
      <c r="AM711" s="5"/>
      <c r="AN711" s="5"/>
      <c r="AO711" s="5"/>
      <c r="AP711" s="5"/>
      <c r="AQ711" s="5"/>
      <c r="AR711" s="5"/>
    </row>
    <row r="712" ht="15.75" customHeight="1">
      <c r="A712" s="36"/>
      <c r="B712" s="37"/>
      <c r="C712" s="2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33"/>
      <c r="AL712" s="5"/>
      <c r="AM712" s="5"/>
      <c r="AN712" s="5"/>
      <c r="AO712" s="5"/>
      <c r="AP712" s="5"/>
      <c r="AQ712" s="5"/>
      <c r="AR712" s="5"/>
    </row>
    <row r="713" ht="15.75" customHeight="1">
      <c r="A713" s="36"/>
      <c r="B713" s="37"/>
      <c r="C713" s="2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33"/>
      <c r="AL713" s="5"/>
      <c r="AM713" s="5"/>
      <c r="AN713" s="5"/>
      <c r="AO713" s="5"/>
      <c r="AP713" s="5"/>
      <c r="AQ713" s="5"/>
      <c r="AR713" s="5"/>
    </row>
    <row r="714" ht="15.75" customHeight="1">
      <c r="A714" s="36"/>
      <c r="B714" s="37"/>
      <c r="C714" s="2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33"/>
      <c r="AL714" s="5"/>
      <c r="AM714" s="5"/>
      <c r="AN714" s="5"/>
      <c r="AO714" s="5"/>
      <c r="AP714" s="5"/>
      <c r="AQ714" s="5"/>
      <c r="AR714" s="5"/>
    </row>
    <row r="715" ht="15.75" customHeight="1">
      <c r="A715" s="36"/>
      <c r="B715" s="37"/>
      <c r="C715" s="2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33"/>
      <c r="AL715" s="5"/>
      <c r="AM715" s="5"/>
      <c r="AN715" s="5"/>
      <c r="AO715" s="5"/>
      <c r="AP715" s="5"/>
      <c r="AQ715" s="5"/>
      <c r="AR715" s="5"/>
    </row>
    <row r="716" ht="15.75" customHeight="1">
      <c r="A716" s="36"/>
      <c r="B716" s="37"/>
      <c r="C716" s="2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33"/>
      <c r="AL716" s="5"/>
      <c r="AM716" s="5"/>
      <c r="AN716" s="5"/>
      <c r="AO716" s="5"/>
      <c r="AP716" s="5"/>
      <c r="AQ716" s="5"/>
      <c r="AR716" s="5"/>
    </row>
    <row r="717" ht="15.75" customHeight="1">
      <c r="A717" s="36"/>
      <c r="B717" s="37"/>
      <c r="C717" s="2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33"/>
      <c r="AL717" s="5"/>
      <c r="AM717" s="5"/>
      <c r="AN717" s="5"/>
      <c r="AO717" s="5"/>
      <c r="AP717" s="5"/>
      <c r="AQ717" s="5"/>
      <c r="AR717" s="5"/>
    </row>
    <row r="718" ht="15.75" customHeight="1">
      <c r="A718" s="36"/>
      <c r="B718" s="37"/>
      <c r="C718" s="2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33"/>
      <c r="AL718" s="5"/>
      <c r="AM718" s="5"/>
      <c r="AN718" s="5"/>
      <c r="AO718" s="5"/>
      <c r="AP718" s="5"/>
      <c r="AQ718" s="5"/>
      <c r="AR718" s="5"/>
    </row>
    <row r="719" ht="15.75" customHeight="1">
      <c r="A719" s="36"/>
      <c r="B719" s="37"/>
      <c r="C719" s="2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33"/>
      <c r="AL719" s="5"/>
      <c r="AM719" s="5"/>
      <c r="AN719" s="5"/>
      <c r="AO719" s="5"/>
      <c r="AP719" s="5"/>
      <c r="AQ719" s="5"/>
      <c r="AR719" s="5"/>
    </row>
    <row r="720" ht="15.75" customHeight="1">
      <c r="A720" s="36"/>
      <c r="B720" s="37"/>
      <c r="C720" s="2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33"/>
      <c r="AL720" s="5"/>
      <c r="AM720" s="5"/>
      <c r="AN720" s="5"/>
      <c r="AO720" s="5"/>
      <c r="AP720" s="5"/>
      <c r="AQ720" s="5"/>
      <c r="AR720" s="5"/>
    </row>
    <row r="721" ht="15.75" customHeight="1">
      <c r="A721" s="36"/>
      <c r="B721" s="37"/>
      <c r="C721" s="2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33"/>
      <c r="AL721" s="5"/>
      <c r="AM721" s="5"/>
      <c r="AN721" s="5"/>
      <c r="AO721" s="5"/>
      <c r="AP721" s="5"/>
      <c r="AQ721" s="5"/>
      <c r="AR721" s="5"/>
    </row>
    <row r="722" ht="15.75" customHeight="1">
      <c r="A722" s="36"/>
      <c r="B722" s="37"/>
      <c r="C722" s="2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33"/>
      <c r="AL722" s="5"/>
      <c r="AM722" s="5"/>
      <c r="AN722" s="5"/>
      <c r="AO722" s="5"/>
      <c r="AP722" s="5"/>
      <c r="AQ722" s="5"/>
      <c r="AR722" s="5"/>
    </row>
    <row r="723" ht="15.75" customHeight="1">
      <c r="A723" s="36"/>
      <c r="B723" s="37"/>
      <c r="C723" s="2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33"/>
      <c r="AL723" s="5"/>
      <c r="AM723" s="5"/>
      <c r="AN723" s="5"/>
      <c r="AO723" s="5"/>
      <c r="AP723" s="5"/>
      <c r="AQ723" s="5"/>
      <c r="AR723" s="5"/>
    </row>
    <row r="724" ht="15.75" customHeight="1">
      <c r="A724" s="36"/>
      <c r="B724" s="37"/>
      <c r="C724" s="2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33"/>
      <c r="AL724" s="5"/>
      <c r="AM724" s="5"/>
      <c r="AN724" s="5"/>
      <c r="AO724" s="5"/>
      <c r="AP724" s="5"/>
      <c r="AQ724" s="5"/>
      <c r="AR724" s="5"/>
    </row>
    <row r="725" ht="15.75" customHeight="1">
      <c r="A725" s="36"/>
      <c r="B725" s="37"/>
      <c r="C725" s="2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33"/>
      <c r="AL725" s="5"/>
      <c r="AM725" s="5"/>
      <c r="AN725" s="5"/>
      <c r="AO725" s="5"/>
      <c r="AP725" s="5"/>
      <c r="AQ725" s="5"/>
      <c r="AR725" s="5"/>
    </row>
    <row r="726" ht="15.75" customHeight="1">
      <c r="A726" s="36"/>
      <c r="B726" s="37"/>
      <c r="C726" s="2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33"/>
      <c r="AL726" s="5"/>
      <c r="AM726" s="5"/>
      <c r="AN726" s="5"/>
      <c r="AO726" s="5"/>
      <c r="AP726" s="5"/>
      <c r="AQ726" s="5"/>
      <c r="AR726" s="5"/>
    </row>
    <row r="727" ht="15.75" customHeight="1">
      <c r="A727" s="36"/>
      <c r="B727" s="37"/>
      <c r="C727" s="2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33"/>
      <c r="AL727" s="5"/>
      <c r="AM727" s="5"/>
      <c r="AN727" s="5"/>
      <c r="AO727" s="5"/>
      <c r="AP727" s="5"/>
      <c r="AQ727" s="5"/>
      <c r="AR727" s="5"/>
    </row>
    <row r="728" ht="15.75" customHeight="1">
      <c r="A728" s="36"/>
      <c r="B728" s="37"/>
      <c r="C728" s="2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33"/>
      <c r="AL728" s="5"/>
      <c r="AM728" s="5"/>
      <c r="AN728" s="5"/>
      <c r="AO728" s="5"/>
      <c r="AP728" s="5"/>
      <c r="AQ728" s="5"/>
      <c r="AR728" s="5"/>
    </row>
    <row r="729" ht="15.75" customHeight="1">
      <c r="A729" s="36"/>
      <c r="B729" s="37"/>
      <c r="C729" s="2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33"/>
      <c r="AL729" s="5"/>
      <c r="AM729" s="5"/>
      <c r="AN729" s="5"/>
      <c r="AO729" s="5"/>
      <c r="AP729" s="5"/>
      <c r="AQ729" s="5"/>
      <c r="AR729" s="5"/>
    </row>
    <row r="730" ht="15.75" customHeight="1">
      <c r="A730" s="36"/>
      <c r="B730" s="37"/>
      <c r="C730" s="2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33"/>
      <c r="AL730" s="5"/>
      <c r="AM730" s="5"/>
      <c r="AN730" s="5"/>
      <c r="AO730" s="5"/>
      <c r="AP730" s="5"/>
      <c r="AQ730" s="5"/>
      <c r="AR730" s="5"/>
    </row>
    <row r="731" ht="15.75" customHeight="1">
      <c r="A731" s="36"/>
      <c r="B731" s="37"/>
      <c r="C731" s="2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33"/>
      <c r="AL731" s="5"/>
      <c r="AM731" s="5"/>
      <c r="AN731" s="5"/>
      <c r="AO731" s="5"/>
      <c r="AP731" s="5"/>
      <c r="AQ731" s="5"/>
      <c r="AR731" s="5"/>
    </row>
    <row r="732" ht="15.75" customHeight="1">
      <c r="A732" s="36"/>
      <c r="B732" s="37"/>
      <c r="C732" s="2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33"/>
      <c r="AL732" s="5"/>
      <c r="AM732" s="5"/>
      <c r="AN732" s="5"/>
      <c r="AO732" s="5"/>
      <c r="AP732" s="5"/>
      <c r="AQ732" s="5"/>
      <c r="AR732" s="5"/>
    </row>
    <row r="733" ht="15.75" customHeight="1">
      <c r="A733" s="36"/>
      <c r="B733" s="37"/>
      <c r="C733" s="2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33"/>
      <c r="AL733" s="5"/>
      <c r="AM733" s="5"/>
      <c r="AN733" s="5"/>
      <c r="AO733" s="5"/>
      <c r="AP733" s="5"/>
      <c r="AQ733" s="5"/>
      <c r="AR733" s="5"/>
    </row>
    <row r="734" ht="15.75" customHeight="1">
      <c r="A734" s="36"/>
      <c r="B734" s="37"/>
      <c r="C734" s="2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33"/>
      <c r="AL734" s="5"/>
      <c r="AM734" s="5"/>
      <c r="AN734" s="5"/>
      <c r="AO734" s="5"/>
      <c r="AP734" s="5"/>
      <c r="AQ734" s="5"/>
      <c r="AR734" s="5"/>
    </row>
    <row r="735" ht="15.75" customHeight="1">
      <c r="A735" s="36"/>
      <c r="B735" s="37"/>
      <c r="C735" s="2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33"/>
      <c r="AL735" s="5"/>
      <c r="AM735" s="5"/>
      <c r="AN735" s="5"/>
      <c r="AO735" s="5"/>
      <c r="AP735" s="5"/>
      <c r="AQ735" s="5"/>
      <c r="AR735" s="5"/>
    </row>
    <row r="736" ht="15.75" customHeight="1">
      <c r="A736" s="36"/>
      <c r="B736" s="37"/>
      <c r="C736" s="2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33"/>
      <c r="AL736" s="5"/>
      <c r="AM736" s="5"/>
      <c r="AN736" s="5"/>
      <c r="AO736" s="5"/>
      <c r="AP736" s="5"/>
      <c r="AQ736" s="5"/>
      <c r="AR736" s="5"/>
    </row>
    <row r="737" ht="15.75" customHeight="1">
      <c r="A737" s="36"/>
      <c r="B737" s="37"/>
      <c r="C737" s="2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33"/>
      <c r="AL737" s="5"/>
      <c r="AM737" s="5"/>
      <c r="AN737" s="5"/>
      <c r="AO737" s="5"/>
      <c r="AP737" s="5"/>
      <c r="AQ737" s="5"/>
      <c r="AR737" s="5"/>
    </row>
    <row r="738" ht="15.75" customHeight="1">
      <c r="A738" s="36"/>
      <c r="B738" s="37"/>
      <c r="C738" s="2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33"/>
      <c r="AL738" s="5"/>
      <c r="AM738" s="5"/>
      <c r="AN738" s="5"/>
      <c r="AO738" s="5"/>
      <c r="AP738" s="5"/>
      <c r="AQ738" s="5"/>
      <c r="AR738" s="5"/>
    </row>
    <row r="739" ht="15.75" customHeight="1">
      <c r="A739" s="36"/>
      <c r="B739" s="37"/>
      <c r="C739" s="2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33"/>
      <c r="AL739" s="5"/>
      <c r="AM739" s="5"/>
      <c r="AN739" s="5"/>
      <c r="AO739" s="5"/>
      <c r="AP739" s="5"/>
      <c r="AQ739" s="5"/>
      <c r="AR739" s="5"/>
    </row>
    <row r="740" ht="15.75" customHeight="1">
      <c r="A740" s="36"/>
      <c r="B740" s="37"/>
      <c r="C740" s="2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33"/>
      <c r="AL740" s="5"/>
      <c r="AM740" s="5"/>
      <c r="AN740" s="5"/>
      <c r="AO740" s="5"/>
      <c r="AP740" s="5"/>
      <c r="AQ740" s="5"/>
      <c r="AR740" s="5"/>
    </row>
    <row r="741" ht="15.75" customHeight="1">
      <c r="A741" s="36"/>
      <c r="B741" s="37"/>
      <c r="C741" s="2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33"/>
      <c r="AL741" s="5"/>
      <c r="AM741" s="5"/>
      <c r="AN741" s="5"/>
      <c r="AO741" s="5"/>
      <c r="AP741" s="5"/>
      <c r="AQ741" s="5"/>
      <c r="AR741" s="5"/>
    </row>
    <row r="742" ht="15.75" customHeight="1">
      <c r="A742" s="36"/>
      <c r="B742" s="37"/>
      <c r="C742" s="2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33"/>
      <c r="AL742" s="5"/>
      <c r="AM742" s="5"/>
      <c r="AN742" s="5"/>
      <c r="AO742" s="5"/>
      <c r="AP742" s="5"/>
      <c r="AQ742" s="5"/>
      <c r="AR742" s="5"/>
    </row>
    <row r="743" ht="15.75" customHeight="1">
      <c r="A743" s="36"/>
      <c r="B743" s="37"/>
      <c r="C743" s="2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33"/>
      <c r="AL743" s="5"/>
      <c r="AM743" s="5"/>
      <c r="AN743" s="5"/>
      <c r="AO743" s="5"/>
      <c r="AP743" s="5"/>
      <c r="AQ743" s="5"/>
      <c r="AR743" s="5"/>
    </row>
    <row r="744" ht="15.75" customHeight="1">
      <c r="A744" s="36"/>
      <c r="B744" s="37"/>
      <c r="C744" s="2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33"/>
      <c r="AL744" s="5"/>
      <c r="AM744" s="5"/>
      <c r="AN744" s="5"/>
      <c r="AO744" s="5"/>
      <c r="AP744" s="5"/>
      <c r="AQ744" s="5"/>
      <c r="AR744" s="5"/>
    </row>
    <row r="745" ht="15.75" customHeight="1">
      <c r="A745" s="36"/>
      <c r="B745" s="37"/>
      <c r="C745" s="2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33"/>
      <c r="AL745" s="5"/>
      <c r="AM745" s="5"/>
      <c r="AN745" s="5"/>
      <c r="AO745" s="5"/>
      <c r="AP745" s="5"/>
      <c r="AQ745" s="5"/>
      <c r="AR745" s="5"/>
    </row>
    <row r="746" ht="15.75" customHeight="1">
      <c r="A746" s="36"/>
      <c r="B746" s="37"/>
      <c r="C746" s="2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33"/>
      <c r="AL746" s="5"/>
      <c r="AM746" s="5"/>
      <c r="AN746" s="5"/>
      <c r="AO746" s="5"/>
      <c r="AP746" s="5"/>
      <c r="AQ746" s="5"/>
      <c r="AR746" s="5"/>
    </row>
    <row r="747" ht="15.75" customHeight="1">
      <c r="A747" s="36"/>
      <c r="B747" s="37"/>
      <c r="C747" s="2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33"/>
      <c r="AL747" s="5"/>
      <c r="AM747" s="5"/>
      <c r="AN747" s="5"/>
      <c r="AO747" s="5"/>
      <c r="AP747" s="5"/>
      <c r="AQ747" s="5"/>
      <c r="AR747" s="5"/>
    </row>
    <row r="748" ht="15.75" customHeight="1">
      <c r="A748" s="36"/>
      <c r="B748" s="37"/>
      <c r="C748" s="2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33"/>
      <c r="AL748" s="5"/>
      <c r="AM748" s="5"/>
      <c r="AN748" s="5"/>
      <c r="AO748" s="5"/>
      <c r="AP748" s="5"/>
      <c r="AQ748" s="5"/>
      <c r="AR748" s="5"/>
    </row>
    <row r="749" ht="15.75" customHeight="1">
      <c r="A749" s="36"/>
      <c r="B749" s="37"/>
      <c r="C749" s="2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33"/>
      <c r="AL749" s="5"/>
      <c r="AM749" s="5"/>
      <c r="AN749" s="5"/>
      <c r="AO749" s="5"/>
      <c r="AP749" s="5"/>
      <c r="AQ749" s="5"/>
      <c r="AR749" s="5"/>
    </row>
    <row r="750" ht="15.75" customHeight="1">
      <c r="A750" s="36"/>
      <c r="B750" s="37"/>
      <c r="C750" s="2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33"/>
      <c r="AL750" s="5"/>
      <c r="AM750" s="5"/>
      <c r="AN750" s="5"/>
      <c r="AO750" s="5"/>
      <c r="AP750" s="5"/>
      <c r="AQ750" s="5"/>
      <c r="AR750" s="5"/>
    </row>
    <row r="751" ht="15.75" customHeight="1">
      <c r="A751" s="36"/>
      <c r="B751" s="37"/>
      <c r="C751" s="2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33"/>
      <c r="AL751" s="5"/>
      <c r="AM751" s="5"/>
      <c r="AN751" s="5"/>
      <c r="AO751" s="5"/>
      <c r="AP751" s="5"/>
      <c r="AQ751" s="5"/>
      <c r="AR751" s="5"/>
    </row>
    <row r="752" ht="15.75" customHeight="1">
      <c r="A752" s="36"/>
      <c r="B752" s="37"/>
      <c r="C752" s="2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33"/>
      <c r="AL752" s="5"/>
      <c r="AM752" s="5"/>
      <c r="AN752" s="5"/>
      <c r="AO752" s="5"/>
      <c r="AP752" s="5"/>
      <c r="AQ752" s="5"/>
      <c r="AR752" s="5"/>
    </row>
    <row r="753" ht="15.75" customHeight="1">
      <c r="A753" s="36"/>
      <c r="B753" s="37"/>
      <c r="C753" s="2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33"/>
      <c r="AL753" s="5"/>
      <c r="AM753" s="5"/>
      <c r="AN753" s="5"/>
      <c r="AO753" s="5"/>
      <c r="AP753" s="5"/>
      <c r="AQ753" s="5"/>
      <c r="AR753" s="5"/>
    </row>
    <row r="754" ht="15.75" customHeight="1">
      <c r="A754" s="36"/>
      <c r="B754" s="37"/>
      <c r="C754" s="2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33"/>
      <c r="AL754" s="5"/>
      <c r="AM754" s="5"/>
      <c r="AN754" s="5"/>
      <c r="AO754" s="5"/>
      <c r="AP754" s="5"/>
      <c r="AQ754" s="5"/>
      <c r="AR754" s="5"/>
    </row>
    <row r="755" ht="15.75" customHeight="1">
      <c r="A755" s="36"/>
      <c r="B755" s="37"/>
      <c r="C755" s="2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33"/>
      <c r="AL755" s="5"/>
      <c r="AM755" s="5"/>
      <c r="AN755" s="5"/>
      <c r="AO755" s="5"/>
      <c r="AP755" s="5"/>
      <c r="AQ755" s="5"/>
      <c r="AR755" s="5"/>
    </row>
    <row r="756" ht="15.75" customHeight="1">
      <c r="A756" s="36"/>
      <c r="B756" s="37"/>
      <c r="C756" s="2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33"/>
      <c r="AL756" s="5"/>
      <c r="AM756" s="5"/>
      <c r="AN756" s="5"/>
      <c r="AO756" s="5"/>
      <c r="AP756" s="5"/>
      <c r="AQ756" s="5"/>
      <c r="AR756" s="5"/>
    </row>
    <row r="757" ht="15.75" customHeight="1">
      <c r="A757" s="36"/>
      <c r="B757" s="37"/>
      <c r="C757" s="2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33"/>
      <c r="AL757" s="5"/>
      <c r="AM757" s="5"/>
      <c r="AN757" s="5"/>
      <c r="AO757" s="5"/>
      <c r="AP757" s="5"/>
      <c r="AQ757" s="5"/>
      <c r="AR757" s="5"/>
    </row>
    <row r="758" ht="15.75" customHeight="1">
      <c r="A758" s="36"/>
      <c r="B758" s="37"/>
      <c r="C758" s="2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33"/>
      <c r="AL758" s="5"/>
      <c r="AM758" s="5"/>
      <c r="AN758" s="5"/>
      <c r="AO758" s="5"/>
      <c r="AP758" s="5"/>
      <c r="AQ758" s="5"/>
      <c r="AR758" s="5"/>
    </row>
    <row r="759" ht="15.75" customHeight="1">
      <c r="A759" s="36"/>
      <c r="B759" s="37"/>
      <c r="C759" s="2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33"/>
      <c r="AL759" s="5"/>
      <c r="AM759" s="5"/>
      <c r="AN759" s="5"/>
      <c r="AO759" s="5"/>
      <c r="AP759" s="5"/>
      <c r="AQ759" s="5"/>
      <c r="AR759" s="5"/>
    </row>
    <row r="760" ht="15.75" customHeight="1">
      <c r="A760" s="36"/>
      <c r="B760" s="37"/>
      <c r="C760" s="2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33"/>
      <c r="AL760" s="5"/>
      <c r="AM760" s="5"/>
      <c r="AN760" s="5"/>
      <c r="AO760" s="5"/>
      <c r="AP760" s="5"/>
      <c r="AQ760" s="5"/>
      <c r="AR760" s="5"/>
    </row>
    <row r="761" ht="15.75" customHeight="1">
      <c r="A761" s="36"/>
      <c r="B761" s="37"/>
      <c r="C761" s="2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33"/>
      <c r="AL761" s="5"/>
      <c r="AM761" s="5"/>
      <c r="AN761" s="5"/>
      <c r="AO761" s="5"/>
      <c r="AP761" s="5"/>
      <c r="AQ761" s="5"/>
      <c r="AR761" s="5"/>
    </row>
    <row r="762" ht="15.75" customHeight="1">
      <c r="A762" s="36"/>
      <c r="B762" s="37"/>
      <c r="C762" s="2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33"/>
      <c r="AL762" s="5"/>
      <c r="AM762" s="5"/>
      <c r="AN762" s="5"/>
      <c r="AO762" s="5"/>
      <c r="AP762" s="5"/>
      <c r="AQ762" s="5"/>
      <c r="AR762" s="5"/>
    </row>
    <row r="763" ht="15.75" customHeight="1">
      <c r="A763" s="36"/>
      <c r="B763" s="37"/>
      <c r="C763" s="2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33"/>
      <c r="AL763" s="5"/>
      <c r="AM763" s="5"/>
      <c r="AN763" s="5"/>
      <c r="AO763" s="5"/>
      <c r="AP763" s="5"/>
      <c r="AQ763" s="5"/>
      <c r="AR763" s="5"/>
    </row>
    <row r="764" ht="15.75" customHeight="1">
      <c r="A764" s="36"/>
      <c r="B764" s="37"/>
      <c r="C764" s="2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33"/>
      <c r="AL764" s="5"/>
      <c r="AM764" s="5"/>
      <c r="AN764" s="5"/>
      <c r="AO764" s="5"/>
      <c r="AP764" s="5"/>
      <c r="AQ764" s="5"/>
      <c r="AR764" s="5"/>
    </row>
    <row r="765" ht="15.75" customHeight="1">
      <c r="A765" s="36"/>
      <c r="B765" s="37"/>
      <c r="C765" s="2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33"/>
      <c r="AL765" s="5"/>
      <c r="AM765" s="5"/>
      <c r="AN765" s="5"/>
      <c r="AO765" s="5"/>
      <c r="AP765" s="5"/>
      <c r="AQ765" s="5"/>
      <c r="AR765" s="5"/>
    </row>
    <row r="766" ht="15.75" customHeight="1">
      <c r="A766" s="36"/>
      <c r="B766" s="37"/>
      <c r="C766" s="2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33"/>
      <c r="AL766" s="5"/>
      <c r="AM766" s="5"/>
      <c r="AN766" s="5"/>
      <c r="AO766" s="5"/>
      <c r="AP766" s="5"/>
      <c r="AQ766" s="5"/>
      <c r="AR766" s="5"/>
    </row>
    <row r="767" ht="15.75" customHeight="1">
      <c r="A767" s="36"/>
      <c r="B767" s="37"/>
      <c r="C767" s="2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33"/>
      <c r="AL767" s="5"/>
      <c r="AM767" s="5"/>
      <c r="AN767" s="5"/>
      <c r="AO767" s="5"/>
      <c r="AP767" s="5"/>
      <c r="AQ767" s="5"/>
      <c r="AR767" s="5"/>
    </row>
    <row r="768" ht="15.75" customHeight="1">
      <c r="A768" s="36"/>
      <c r="B768" s="37"/>
      <c r="C768" s="2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33"/>
      <c r="AL768" s="5"/>
      <c r="AM768" s="5"/>
      <c r="AN768" s="5"/>
      <c r="AO768" s="5"/>
      <c r="AP768" s="5"/>
      <c r="AQ768" s="5"/>
      <c r="AR768" s="5"/>
    </row>
    <row r="769" ht="15.75" customHeight="1">
      <c r="A769" s="36"/>
      <c r="B769" s="37"/>
      <c r="C769" s="2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33"/>
      <c r="AL769" s="5"/>
      <c r="AM769" s="5"/>
      <c r="AN769" s="5"/>
      <c r="AO769" s="5"/>
      <c r="AP769" s="5"/>
      <c r="AQ769" s="5"/>
      <c r="AR769" s="5"/>
    </row>
    <row r="770" ht="15.75" customHeight="1">
      <c r="A770" s="36"/>
      <c r="B770" s="37"/>
      <c r="C770" s="2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33"/>
      <c r="AL770" s="5"/>
      <c r="AM770" s="5"/>
      <c r="AN770" s="5"/>
      <c r="AO770" s="5"/>
      <c r="AP770" s="5"/>
      <c r="AQ770" s="5"/>
      <c r="AR770" s="5"/>
    </row>
    <row r="771" ht="15.75" customHeight="1">
      <c r="A771" s="36"/>
      <c r="B771" s="37"/>
      <c r="C771" s="2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33"/>
      <c r="AL771" s="5"/>
      <c r="AM771" s="5"/>
      <c r="AN771" s="5"/>
      <c r="AO771" s="5"/>
      <c r="AP771" s="5"/>
      <c r="AQ771" s="5"/>
      <c r="AR771" s="5"/>
    </row>
    <row r="772" ht="15.75" customHeight="1">
      <c r="A772" s="36"/>
      <c r="B772" s="37"/>
      <c r="C772" s="2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33"/>
      <c r="AL772" s="5"/>
      <c r="AM772" s="5"/>
      <c r="AN772" s="5"/>
      <c r="AO772" s="5"/>
      <c r="AP772" s="5"/>
      <c r="AQ772" s="5"/>
      <c r="AR772" s="5"/>
    </row>
    <row r="773" ht="15.75" customHeight="1">
      <c r="A773" s="36"/>
      <c r="B773" s="37"/>
      <c r="C773" s="2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33"/>
      <c r="AL773" s="5"/>
      <c r="AM773" s="5"/>
      <c r="AN773" s="5"/>
      <c r="AO773" s="5"/>
      <c r="AP773" s="5"/>
      <c r="AQ773" s="5"/>
      <c r="AR773" s="5"/>
    </row>
    <row r="774" ht="15.75" customHeight="1">
      <c r="A774" s="36"/>
      <c r="B774" s="37"/>
      <c r="C774" s="2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33"/>
      <c r="AL774" s="5"/>
      <c r="AM774" s="5"/>
      <c r="AN774" s="5"/>
      <c r="AO774" s="5"/>
      <c r="AP774" s="5"/>
      <c r="AQ774" s="5"/>
      <c r="AR774" s="5"/>
    </row>
    <row r="775" ht="15.75" customHeight="1">
      <c r="A775" s="36"/>
      <c r="B775" s="37"/>
      <c r="C775" s="2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33"/>
      <c r="AL775" s="5"/>
      <c r="AM775" s="5"/>
      <c r="AN775" s="5"/>
      <c r="AO775" s="5"/>
      <c r="AP775" s="5"/>
      <c r="AQ775" s="5"/>
      <c r="AR775" s="5"/>
    </row>
    <row r="776" ht="15.75" customHeight="1">
      <c r="A776" s="36"/>
      <c r="B776" s="37"/>
      <c r="C776" s="2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33"/>
      <c r="AL776" s="5"/>
      <c r="AM776" s="5"/>
      <c r="AN776" s="5"/>
      <c r="AO776" s="5"/>
      <c r="AP776" s="5"/>
      <c r="AQ776" s="5"/>
      <c r="AR776" s="5"/>
    </row>
    <row r="777" ht="15.75" customHeight="1">
      <c r="A777" s="36"/>
      <c r="B777" s="37"/>
      <c r="C777" s="2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33"/>
      <c r="AL777" s="5"/>
      <c r="AM777" s="5"/>
      <c r="AN777" s="5"/>
      <c r="AO777" s="5"/>
      <c r="AP777" s="5"/>
      <c r="AQ777" s="5"/>
      <c r="AR777" s="5"/>
    </row>
    <row r="778" ht="15.75" customHeight="1">
      <c r="A778" s="36"/>
      <c r="B778" s="37"/>
      <c r="C778" s="2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33"/>
      <c r="AL778" s="5"/>
      <c r="AM778" s="5"/>
      <c r="AN778" s="5"/>
      <c r="AO778" s="5"/>
      <c r="AP778" s="5"/>
      <c r="AQ778" s="5"/>
      <c r="AR778" s="5"/>
    </row>
    <row r="779" ht="15.75" customHeight="1">
      <c r="A779" s="36"/>
      <c r="B779" s="37"/>
      <c r="C779" s="2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33"/>
      <c r="AL779" s="5"/>
      <c r="AM779" s="5"/>
      <c r="AN779" s="5"/>
      <c r="AO779" s="5"/>
      <c r="AP779" s="5"/>
      <c r="AQ779" s="5"/>
      <c r="AR779" s="5"/>
    </row>
    <row r="780" ht="15.75" customHeight="1">
      <c r="A780" s="36"/>
      <c r="B780" s="37"/>
      <c r="C780" s="2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33"/>
      <c r="AL780" s="5"/>
      <c r="AM780" s="5"/>
      <c r="AN780" s="5"/>
      <c r="AO780" s="5"/>
      <c r="AP780" s="5"/>
      <c r="AQ780" s="5"/>
      <c r="AR780" s="5"/>
    </row>
    <row r="781" ht="15.75" customHeight="1">
      <c r="A781" s="36"/>
      <c r="B781" s="37"/>
      <c r="C781" s="2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33"/>
      <c r="AL781" s="5"/>
      <c r="AM781" s="5"/>
      <c r="AN781" s="5"/>
      <c r="AO781" s="5"/>
      <c r="AP781" s="5"/>
      <c r="AQ781" s="5"/>
      <c r="AR781" s="5"/>
    </row>
    <row r="782" ht="15.75" customHeight="1">
      <c r="A782" s="36"/>
      <c r="B782" s="37"/>
      <c r="C782" s="2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33"/>
      <c r="AL782" s="5"/>
      <c r="AM782" s="5"/>
      <c r="AN782" s="5"/>
      <c r="AO782" s="5"/>
      <c r="AP782" s="5"/>
      <c r="AQ782" s="5"/>
      <c r="AR782" s="5"/>
    </row>
    <row r="783" ht="15.75" customHeight="1">
      <c r="A783" s="36"/>
      <c r="B783" s="37"/>
      <c r="C783" s="2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33"/>
      <c r="AL783" s="5"/>
      <c r="AM783" s="5"/>
      <c r="AN783" s="5"/>
      <c r="AO783" s="5"/>
      <c r="AP783" s="5"/>
      <c r="AQ783" s="5"/>
      <c r="AR783" s="5"/>
    </row>
    <row r="784" ht="15.75" customHeight="1">
      <c r="A784" s="36"/>
      <c r="B784" s="37"/>
      <c r="C784" s="2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33"/>
      <c r="AL784" s="5"/>
      <c r="AM784" s="5"/>
      <c r="AN784" s="5"/>
      <c r="AO784" s="5"/>
      <c r="AP784" s="5"/>
      <c r="AQ784" s="5"/>
      <c r="AR784" s="5"/>
    </row>
    <row r="785" ht="15.75" customHeight="1">
      <c r="A785" s="36"/>
      <c r="B785" s="37"/>
      <c r="C785" s="2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33"/>
      <c r="AL785" s="5"/>
      <c r="AM785" s="5"/>
      <c r="AN785" s="5"/>
      <c r="AO785" s="5"/>
      <c r="AP785" s="5"/>
      <c r="AQ785" s="5"/>
      <c r="AR785" s="5"/>
    </row>
    <row r="786" ht="15.75" customHeight="1">
      <c r="A786" s="36"/>
      <c r="B786" s="37"/>
      <c r="C786" s="2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33"/>
      <c r="AL786" s="5"/>
      <c r="AM786" s="5"/>
      <c r="AN786" s="5"/>
      <c r="AO786" s="5"/>
      <c r="AP786" s="5"/>
      <c r="AQ786" s="5"/>
      <c r="AR786" s="5"/>
    </row>
    <row r="787" ht="15.75" customHeight="1">
      <c r="A787" s="36"/>
      <c r="B787" s="37"/>
      <c r="C787" s="2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33"/>
      <c r="AL787" s="5"/>
      <c r="AM787" s="5"/>
      <c r="AN787" s="5"/>
      <c r="AO787" s="5"/>
      <c r="AP787" s="5"/>
      <c r="AQ787" s="5"/>
      <c r="AR787" s="5"/>
    </row>
    <row r="788" ht="15.75" customHeight="1">
      <c r="A788" s="36"/>
      <c r="B788" s="37"/>
      <c r="C788" s="2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33"/>
      <c r="AL788" s="5"/>
      <c r="AM788" s="5"/>
      <c r="AN788" s="5"/>
      <c r="AO788" s="5"/>
      <c r="AP788" s="5"/>
      <c r="AQ788" s="5"/>
      <c r="AR788" s="5"/>
    </row>
    <row r="789" ht="15.75" customHeight="1">
      <c r="A789" s="36"/>
      <c r="B789" s="37"/>
      <c r="C789" s="2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33"/>
      <c r="AL789" s="5"/>
      <c r="AM789" s="5"/>
      <c r="AN789" s="5"/>
      <c r="AO789" s="5"/>
      <c r="AP789" s="5"/>
      <c r="AQ789" s="5"/>
      <c r="AR789" s="5"/>
    </row>
    <row r="790" ht="15.75" customHeight="1">
      <c r="A790" s="36"/>
      <c r="B790" s="37"/>
      <c r="C790" s="2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33"/>
      <c r="AL790" s="5"/>
      <c r="AM790" s="5"/>
      <c r="AN790" s="5"/>
      <c r="AO790" s="5"/>
      <c r="AP790" s="5"/>
      <c r="AQ790" s="5"/>
      <c r="AR790" s="5"/>
    </row>
    <row r="791" ht="15.75" customHeight="1">
      <c r="A791" s="36"/>
      <c r="B791" s="37"/>
      <c r="C791" s="2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33"/>
      <c r="AL791" s="5"/>
      <c r="AM791" s="5"/>
      <c r="AN791" s="5"/>
      <c r="AO791" s="5"/>
      <c r="AP791" s="5"/>
      <c r="AQ791" s="5"/>
      <c r="AR791" s="5"/>
    </row>
    <row r="792" ht="15.75" customHeight="1">
      <c r="A792" s="36"/>
      <c r="B792" s="37"/>
      <c r="C792" s="2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33"/>
      <c r="AL792" s="5"/>
      <c r="AM792" s="5"/>
      <c r="AN792" s="5"/>
      <c r="AO792" s="5"/>
      <c r="AP792" s="5"/>
      <c r="AQ792" s="5"/>
      <c r="AR792" s="5"/>
    </row>
    <row r="793" ht="15.75" customHeight="1">
      <c r="A793" s="36"/>
      <c r="B793" s="37"/>
      <c r="C793" s="2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33"/>
      <c r="AL793" s="5"/>
      <c r="AM793" s="5"/>
      <c r="AN793" s="5"/>
      <c r="AO793" s="5"/>
      <c r="AP793" s="5"/>
      <c r="AQ793" s="5"/>
      <c r="AR793" s="5"/>
    </row>
    <row r="794" ht="15.75" customHeight="1">
      <c r="A794" s="36"/>
      <c r="B794" s="37"/>
      <c r="C794" s="2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33"/>
      <c r="AL794" s="5"/>
      <c r="AM794" s="5"/>
      <c r="AN794" s="5"/>
      <c r="AO794" s="5"/>
      <c r="AP794" s="5"/>
      <c r="AQ794" s="5"/>
      <c r="AR794" s="5"/>
    </row>
    <row r="795" ht="15.75" customHeight="1">
      <c r="A795" s="36"/>
      <c r="B795" s="37"/>
      <c r="C795" s="2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33"/>
      <c r="AL795" s="5"/>
      <c r="AM795" s="5"/>
      <c r="AN795" s="5"/>
      <c r="AO795" s="5"/>
      <c r="AP795" s="5"/>
      <c r="AQ795" s="5"/>
      <c r="AR795" s="5"/>
    </row>
    <row r="796" ht="15.75" customHeight="1">
      <c r="A796" s="36"/>
      <c r="B796" s="37"/>
      <c r="C796" s="2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33"/>
      <c r="AL796" s="5"/>
      <c r="AM796" s="5"/>
      <c r="AN796" s="5"/>
      <c r="AO796" s="5"/>
      <c r="AP796" s="5"/>
      <c r="AQ796" s="5"/>
      <c r="AR796" s="5"/>
    </row>
    <row r="797" ht="15.75" customHeight="1">
      <c r="A797" s="36"/>
      <c r="B797" s="37"/>
      <c r="C797" s="2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33"/>
      <c r="AL797" s="5"/>
      <c r="AM797" s="5"/>
      <c r="AN797" s="5"/>
      <c r="AO797" s="5"/>
      <c r="AP797" s="5"/>
      <c r="AQ797" s="5"/>
      <c r="AR797" s="5"/>
    </row>
    <row r="798" ht="15.75" customHeight="1">
      <c r="A798" s="36"/>
      <c r="B798" s="37"/>
      <c r="C798" s="2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33"/>
      <c r="AL798" s="5"/>
      <c r="AM798" s="5"/>
      <c r="AN798" s="5"/>
      <c r="AO798" s="5"/>
      <c r="AP798" s="5"/>
      <c r="AQ798" s="5"/>
      <c r="AR798" s="5"/>
    </row>
    <row r="799" ht="15.75" customHeight="1">
      <c r="A799" s="36"/>
      <c r="B799" s="37"/>
      <c r="C799" s="2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33"/>
      <c r="AL799" s="5"/>
      <c r="AM799" s="5"/>
      <c r="AN799" s="5"/>
      <c r="AO799" s="5"/>
      <c r="AP799" s="5"/>
      <c r="AQ799" s="5"/>
      <c r="AR799" s="5"/>
    </row>
    <row r="800" ht="15.75" customHeight="1">
      <c r="A800" s="36"/>
      <c r="B800" s="37"/>
      <c r="C800" s="2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33"/>
      <c r="AL800" s="5"/>
      <c r="AM800" s="5"/>
      <c r="AN800" s="5"/>
      <c r="AO800" s="5"/>
      <c r="AP800" s="5"/>
      <c r="AQ800" s="5"/>
      <c r="AR800" s="5"/>
    </row>
    <row r="801" ht="15.75" customHeight="1">
      <c r="A801" s="36"/>
      <c r="B801" s="37"/>
      <c r="C801" s="2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33"/>
      <c r="AL801" s="5"/>
      <c r="AM801" s="5"/>
      <c r="AN801" s="5"/>
      <c r="AO801" s="5"/>
      <c r="AP801" s="5"/>
      <c r="AQ801" s="5"/>
      <c r="AR801" s="5"/>
    </row>
    <row r="802" ht="15.75" customHeight="1">
      <c r="A802" s="36"/>
      <c r="B802" s="37"/>
      <c r="C802" s="2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33"/>
      <c r="AL802" s="5"/>
      <c r="AM802" s="5"/>
      <c r="AN802" s="5"/>
      <c r="AO802" s="5"/>
      <c r="AP802" s="5"/>
      <c r="AQ802" s="5"/>
      <c r="AR802" s="5"/>
    </row>
    <row r="803" ht="15.75" customHeight="1">
      <c r="A803" s="36"/>
      <c r="B803" s="37"/>
      <c r="C803" s="2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33"/>
      <c r="AL803" s="5"/>
      <c r="AM803" s="5"/>
      <c r="AN803" s="5"/>
      <c r="AO803" s="5"/>
      <c r="AP803" s="5"/>
      <c r="AQ803" s="5"/>
      <c r="AR803" s="5"/>
    </row>
    <row r="804" ht="15.75" customHeight="1">
      <c r="A804" s="36"/>
      <c r="B804" s="37"/>
      <c r="C804" s="2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33"/>
      <c r="AL804" s="5"/>
      <c r="AM804" s="5"/>
      <c r="AN804" s="5"/>
      <c r="AO804" s="5"/>
      <c r="AP804" s="5"/>
      <c r="AQ804" s="5"/>
      <c r="AR804" s="5"/>
    </row>
    <row r="805" ht="15.75" customHeight="1">
      <c r="A805" s="36"/>
      <c r="B805" s="37"/>
      <c r="C805" s="2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33"/>
      <c r="AL805" s="5"/>
      <c r="AM805" s="5"/>
      <c r="AN805" s="5"/>
      <c r="AO805" s="5"/>
      <c r="AP805" s="5"/>
      <c r="AQ805" s="5"/>
      <c r="AR805" s="5"/>
    </row>
    <row r="806" ht="15.75" customHeight="1">
      <c r="A806" s="36"/>
      <c r="B806" s="37"/>
      <c r="C806" s="2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33"/>
      <c r="AL806" s="5"/>
      <c r="AM806" s="5"/>
      <c r="AN806" s="5"/>
      <c r="AO806" s="5"/>
      <c r="AP806" s="5"/>
      <c r="AQ806" s="5"/>
      <c r="AR806" s="5"/>
    </row>
    <row r="807" ht="15.75" customHeight="1">
      <c r="A807" s="36"/>
      <c r="B807" s="37"/>
      <c r="C807" s="2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33"/>
      <c r="AL807" s="5"/>
      <c r="AM807" s="5"/>
      <c r="AN807" s="5"/>
      <c r="AO807" s="5"/>
      <c r="AP807" s="5"/>
      <c r="AQ807" s="5"/>
      <c r="AR807" s="5"/>
    </row>
    <row r="808" ht="15.75" customHeight="1">
      <c r="A808" s="36"/>
      <c r="B808" s="37"/>
      <c r="C808" s="2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33"/>
      <c r="AL808" s="5"/>
      <c r="AM808" s="5"/>
      <c r="AN808" s="5"/>
      <c r="AO808" s="5"/>
      <c r="AP808" s="5"/>
      <c r="AQ808" s="5"/>
      <c r="AR808" s="5"/>
    </row>
    <row r="809" ht="15.75" customHeight="1">
      <c r="A809" s="36"/>
      <c r="B809" s="37"/>
      <c r="C809" s="2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33"/>
      <c r="AL809" s="5"/>
      <c r="AM809" s="5"/>
      <c r="AN809" s="5"/>
      <c r="AO809" s="5"/>
      <c r="AP809" s="5"/>
      <c r="AQ809" s="5"/>
      <c r="AR809" s="5"/>
    </row>
    <row r="810" ht="15.75" customHeight="1">
      <c r="A810" s="36"/>
      <c r="B810" s="37"/>
      <c r="C810" s="2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33"/>
      <c r="AL810" s="5"/>
      <c r="AM810" s="5"/>
      <c r="AN810" s="5"/>
      <c r="AO810" s="5"/>
      <c r="AP810" s="5"/>
      <c r="AQ810" s="5"/>
      <c r="AR810" s="5"/>
    </row>
    <row r="811" ht="15.75" customHeight="1">
      <c r="A811" s="36"/>
      <c r="B811" s="37"/>
      <c r="C811" s="2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33"/>
      <c r="AL811" s="5"/>
      <c r="AM811" s="5"/>
      <c r="AN811" s="5"/>
      <c r="AO811" s="5"/>
      <c r="AP811" s="5"/>
      <c r="AQ811" s="5"/>
      <c r="AR811" s="5"/>
    </row>
    <row r="812" ht="15.75" customHeight="1">
      <c r="A812" s="36"/>
      <c r="B812" s="37"/>
      <c r="C812" s="2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33"/>
      <c r="AL812" s="5"/>
      <c r="AM812" s="5"/>
      <c r="AN812" s="5"/>
      <c r="AO812" s="5"/>
      <c r="AP812" s="5"/>
      <c r="AQ812" s="5"/>
      <c r="AR812" s="5"/>
    </row>
    <row r="813" ht="15.75" customHeight="1">
      <c r="A813" s="36"/>
      <c r="B813" s="37"/>
      <c r="C813" s="2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33"/>
      <c r="AL813" s="5"/>
      <c r="AM813" s="5"/>
      <c r="AN813" s="5"/>
      <c r="AO813" s="5"/>
      <c r="AP813" s="5"/>
      <c r="AQ813" s="5"/>
      <c r="AR813" s="5"/>
    </row>
    <row r="814" ht="15.75" customHeight="1">
      <c r="A814" s="36"/>
      <c r="B814" s="37"/>
      <c r="C814" s="2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33"/>
      <c r="AL814" s="5"/>
      <c r="AM814" s="5"/>
      <c r="AN814" s="5"/>
      <c r="AO814" s="5"/>
      <c r="AP814" s="5"/>
      <c r="AQ814" s="5"/>
      <c r="AR814" s="5"/>
    </row>
    <row r="815" ht="15.75" customHeight="1">
      <c r="A815" s="36"/>
      <c r="B815" s="37"/>
      <c r="C815" s="2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33"/>
      <c r="AL815" s="5"/>
      <c r="AM815" s="5"/>
      <c r="AN815" s="5"/>
      <c r="AO815" s="5"/>
      <c r="AP815" s="5"/>
      <c r="AQ815" s="5"/>
      <c r="AR815" s="5"/>
    </row>
    <row r="816" ht="15.75" customHeight="1">
      <c r="A816" s="36"/>
      <c r="B816" s="37"/>
      <c r="C816" s="2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33"/>
      <c r="AL816" s="5"/>
      <c r="AM816" s="5"/>
      <c r="AN816" s="5"/>
      <c r="AO816" s="5"/>
      <c r="AP816" s="5"/>
      <c r="AQ816" s="5"/>
      <c r="AR816" s="5"/>
    </row>
    <row r="817" ht="15.75" customHeight="1">
      <c r="A817" s="36"/>
      <c r="B817" s="37"/>
      <c r="C817" s="2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33"/>
      <c r="AL817" s="5"/>
      <c r="AM817" s="5"/>
      <c r="AN817" s="5"/>
      <c r="AO817" s="5"/>
      <c r="AP817" s="5"/>
      <c r="AQ817" s="5"/>
      <c r="AR817" s="5"/>
    </row>
    <row r="818" ht="15.75" customHeight="1">
      <c r="A818" s="36"/>
      <c r="B818" s="37"/>
      <c r="C818" s="2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33"/>
      <c r="AL818" s="5"/>
      <c r="AM818" s="5"/>
      <c r="AN818" s="5"/>
      <c r="AO818" s="5"/>
      <c r="AP818" s="5"/>
      <c r="AQ818" s="5"/>
      <c r="AR818" s="5"/>
    </row>
    <row r="819" ht="15.75" customHeight="1">
      <c r="A819" s="36"/>
      <c r="B819" s="37"/>
      <c r="C819" s="2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33"/>
      <c r="AL819" s="5"/>
      <c r="AM819" s="5"/>
      <c r="AN819" s="5"/>
      <c r="AO819" s="5"/>
      <c r="AP819" s="5"/>
      <c r="AQ819" s="5"/>
      <c r="AR819" s="5"/>
    </row>
    <row r="820" ht="15.75" customHeight="1">
      <c r="A820" s="36"/>
      <c r="B820" s="37"/>
      <c r="C820" s="2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33"/>
      <c r="AL820" s="5"/>
      <c r="AM820" s="5"/>
      <c r="AN820" s="5"/>
      <c r="AO820" s="5"/>
      <c r="AP820" s="5"/>
      <c r="AQ820" s="5"/>
      <c r="AR820" s="5"/>
    </row>
    <row r="821" ht="15.75" customHeight="1">
      <c r="A821" s="36"/>
      <c r="B821" s="37"/>
      <c r="C821" s="2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33"/>
      <c r="AL821" s="5"/>
      <c r="AM821" s="5"/>
      <c r="AN821" s="5"/>
      <c r="AO821" s="5"/>
      <c r="AP821" s="5"/>
      <c r="AQ821" s="5"/>
      <c r="AR821" s="5"/>
    </row>
    <row r="822" ht="15.75" customHeight="1">
      <c r="A822" s="36"/>
      <c r="B822" s="37"/>
      <c r="C822" s="2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33"/>
      <c r="AL822" s="5"/>
      <c r="AM822" s="5"/>
      <c r="AN822" s="5"/>
      <c r="AO822" s="5"/>
      <c r="AP822" s="5"/>
      <c r="AQ822" s="5"/>
      <c r="AR822" s="5"/>
    </row>
    <row r="823" ht="15.75" customHeight="1">
      <c r="A823" s="36"/>
      <c r="B823" s="37"/>
      <c r="C823" s="2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33"/>
      <c r="AL823" s="5"/>
      <c r="AM823" s="5"/>
      <c r="AN823" s="5"/>
      <c r="AO823" s="5"/>
      <c r="AP823" s="5"/>
      <c r="AQ823" s="5"/>
      <c r="AR823" s="5"/>
    </row>
    <row r="824" ht="15.75" customHeight="1">
      <c r="A824" s="36"/>
      <c r="B824" s="37"/>
      <c r="C824" s="2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33"/>
      <c r="AL824" s="5"/>
      <c r="AM824" s="5"/>
      <c r="AN824" s="5"/>
      <c r="AO824" s="5"/>
      <c r="AP824" s="5"/>
      <c r="AQ824" s="5"/>
      <c r="AR824" s="5"/>
    </row>
    <row r="825" ht="15.75" customHeight="1">
      <c r="A825" s="36"/>
      <c r="B825" s="37"/>
      <c r="C825" s="2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33"/>
      <c r="AL825" s="5"/>
      <c r="AM825" s="5"/>
      <c r="AN825" s="5"/>
      <c r="AO825" s="5"/>
      <c r="AP825" s="5"/>
      <c r="AQ825" s="5"/>
      <c r="AR825" s="5"/>
    </row>
    <row r="826" ht="15.75" customHeight="1">
      <c r="A826" s="36"/>
      <c r="B826" s="37"/>
      <c r="C826" s="2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33"/>
      <c r="AL826" s="5"/>
      <c r="AM826" s="5"/>
      <c r="AN826" s="5"/>
      <c r="AO826" s="5"/>
      <c r="AP826" s="5"/>
      <c r="AQ826" s="5"/>
      <c r="AR826" s="5"/>
    </row>
    <row r="827" ht="15.75" customHeight="1">
      <c r="A827" s="36"/>
      <c r="B827" s="37"/>
      <c r="C827" s="2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33"/>
      <c r="AL827" s="5"/>
      <c r="AM827" s="5"/>
      <c r="AN827" s="5"/>
      <c r="AO827" s="5"/>
      <c r="AP827" s="5"/>
      <c r="AQ827" s="5"/>
      <c r="AR827" s="5"/>
    </row>
    <row r="828" ht="15.75" customHeight="1">
      <c r="A828" s="36"/>
      <c r="B828" s="37"/>
      <c r="C828" s="2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33"/>
      <c r="AL828" s="5"/>
      <c r="AM828" s="5"/>
      <c r="AN828" s="5"/>
      <c r="AO828" s="5"/>
      <c r="AP828" s="5"/>
      <c r="AQ828" s="5"/>
      <c r="AR828" s="5"/>
    </row>
    <row r="829" ht="15.75" customHeight="1">
      <c r="A829" s="36"/>
      <c r="B829" s="37"/>
      <c r="C829" s="2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33"/>
      <c r="AL829" s="5"/>
      <c r="AM829" s="5"/>
      <c r="AN829" s="5"/>
      <c r="AO829" s="5"/>
      <c r="AP829" s="5"/>
      <c r="AQ829" s="5"/>
      <c r="AR829" s="5"/>
    </row>
    <row r="830" ht="15.75" customHeight="1">
      <c r="A830" s="36"/>
      <c r="B830" s="37"/>
      <c r="C830" s="2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33"/>
      <c r="AL830" s="5"/>
      <c r="AM830" s="5"/>
      <c r="AN830" s="5"/>
      <c r="AO830" s="5"/>
      <c r="AP830" s="5"/>
      <c r="AQ830" s="5"/>
      <c r="AR830" s="5"/>
    </row>
    <row r="831" ht="15.75" customHeight="1">
      <c r="A831" s="36"/>
      <c r="B831" s="37"/>
      <c r="C831" s="2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33"/>
      <c r="AL831" s="5"/>
      <c r="AM831" s="5"/>
      <c r="AN831" s="5"/>
      <c r="AO831" s="5"/>
      <c r="AP831" s="5"/>
      <c r="AQ831" s="5"/>
      <c r="AR831" s="5"/>
    </row>
    <row r="832" ht="15.75" customHeight="1">
      <c r="A832" s="36"/>
      <c r="B832" s="37"/>
      <c r="C832" s="2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33"/>
      <c r="AL832" s="5"/>
      <c r="AM832" s="5"/>
      <c r="AN832" s="5"/>
      <c r="AO832" s="5"/>
      <c r="AP832" s="5"/>
      <c r="AQ832" s="5"/>
      <c r="AR832" s="5"/>
    </row>
    <row r="833" ht="15.75" customHeight="1">
      <c r="A833" s="36"/>
      <c r="B833" s="37"/>
      <c r="C833" s="2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33"/>
      <c r="AL833" s="5"/>
      <c r="AM833" s="5"/>
      <c r="AN833" s="5"/>
      <c r="AO833" s="5"/>
      <c r="AP833" s="5"/>
      <c r="AQ833" s="5"/>
      <c r="AR833" s="5"/>
    </row>
    <row r="834" ht="15.75" customHeight="1">
      <c r="A834" s="36"/>
      <c r="B834" s="37"/>
      <c r="C834" s="2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33"/>
      <c r="AL834" s="5"/>
      <c r="AM834" s="5"/>
      <c r="AN834" s="5"/>
      <c r="AO834" s="5"/>
      <c r="AP834" s="5"/>
      <c r="AQ834" s="5"/>
      <c r="AR834" s="5"/>
    </row>
    <row r="835" ht="15.75" customHeight="1">
      <c r="A835" s="36"/>
      <c r="B835" s="37"/>
      <c r="C835" s="2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33"/>
      <c r="AL835" s="5"/>
      <c r="AM835" s="5"/>
      <c r="AN835" s="5"/>
      <c r="AO835" s="5"/>
      <c r="AP835" s="5"/>
      <c r="AQ835" s="5"/>
      <c r="AR835" s="5"/>
    </row>
    <row r="836" ht="15.75" customHeight="1">
      <c r="A836" s="36"/>
      <c r="B836" s="37"/>
      <c r="C836" s="2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33"/>
      <c r="AL836" s="5"/>
      <c r="AM836" s="5"/>
      <c r="AN836" s="5"/>
      <c r="AO836" s="5"/>
      <c r="AP836" s="5"/>
      <c r="AQ836" s="5"/>
      <c r="AR836" s="5"/>
    </row>
    <row r="837" ht="15.75" customHeight="1">
      <c r="A837" s="36"/>
      <c r="B837" s="37"/>
      <c r="C837" s="2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33"/>
      <c r="AL837" s="5"/>
      <c r="AM837" s="5"/>
      <c r="AN837" s="5"/>
      <c r="AO837" s="5"/>
      <c r="AP837" s="5"/>
      <c r="AQ837" s="5"/>
      <c r="AR837" s="5"/>
    </row>
    <row r="838" ht="15.75" customHeight="1">
      <c r="A838" s="36"/>
      <c r="B838" s="37"/>
      <c r="C838" s="2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33"/>
      <c r="AL838" s="5"/>
      <c r="AM838" s="5"/>
      <c r="AN838" s="5"/>
      <c r="AO838" s="5"/>
      <c r="AP838" s="5"/>
      <c r="AQ838" s="5"/>
      <c r="AR838" s="5"/>
    </row>
    <row r="839" ht="15.75" customHeight="1">
      <c r="A839" s="36"/>
      <c r="B839" s="37"/>
      <c r="C839" s="2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33"/>
      <c r="AL839" s="5"/>
      <c r="AM839" s="5"/>
      <c r="AN839" s="5"/>
      <c r="AO839" s="5"/>
      <c r="AP839" s="5"/>
      <c r="AQ839" s="5"/>
      <c r="AR839" s="5"/>
    </row>
    <row r="840" ht="15.75" customHeight="1">
      <c r="A840" s="36"/>
      <c r="B840" s="37"/>
      <c r="C840" s="2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33"/>
      <c r="AL840" s="5"/>
      <c r="AM840" s="5"/>
      <c r="AN840" s="5"/>
      <c r="AO840" s="5"/>
      <c r="AP840" s="5"/>
      <c r="AQ840" s="5"/>
      <c r="AR840" s="5"/>
    </row>
    <row r="841" ht="15.75" customHeight="1">
      <c r="A841" s="36"/>
      <c r="B841" s="37"/>
      <c r="C841" s="2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33"/>
      <c r="AL841" s="5"/>
      <c r="AM841" s="5"/>
      <c r="AN841" s="5"/>
      <c r="AO841" s="5"/>
      <c r="AP841" s="5"/>
      <c r="AQ841" s="5"/>
      <c r="AR841" s="5"/>
    </row>
    <row r="842" ht="15.75" customHeight="1">
      <c r="A842" s="36"/>
      <c r="B842" s="37"/>
      <c r="C842" s="2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33"/>
      <c r="AL842" s="5"/>
      <c r="AM842" s="5"/>
      <c r="AN842" s="5"/>
      <c r="AO842" s="5"/>
      <c r="AP842" s="5"/>
      <c r="AQ842" s="5"/>
      <c r="AR842" s="5"/>
    </row>
    <row r="843" ht="15.75" customHeight="1">
      <c r="A843" s="36"/>
      <c r="B843" s="37"/>
      <c r="C843" s="2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33"/>
      <c r="AL843" s="5"/>
      <c r="AM843" s="5"/>
      <c r="AN843" s="5"/>
      <c r="AO843" s="5"/>
      <c r="AP843" s="5"/>
      <c r="AQ843" s="5"/>
      <c r="AR843" s="5"/>
    </row>
    <row r="844" ht="15.75" customHeight="1">
      <c r="A844" s="36"/>
      <c r="B844" s="37"/>
      <c r="C844" s="2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33"/>
      <c r="AL844" s="5"/>
      <c r="AM844" s="5"/>
      <c r="AN844" s="5"/>
      <c r="AO844" s="5"/>
      <c r="AP844" s="5"/>
      <c r="AQ844" s="5"/>
      <c r="AR844" s="5"/>
    </row>
    <row r="845" ht="15.75" customHeight="1">
      <c r="A845" s="36"/>
      <c r="B845" s="37"/>
      <c r="C845" s="2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33"/>
      <c r="AL845" s="5"/>
      <c r="AM845" s="5"/>
      <c r="AN845" s="5"/>
      <c r="AO845" s="5"/>
      <c r="AP845" s="5"/>
      <c r="AQ845" s="5"/>
      <c r="AR845" s="5"/>
    </row>
    <row r="846" ht="15.75" customHeight="1">
      <c r="A846" s="36"/>
      <c r="B846" s="37"/>
      <c r="C846" s="2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33"/>
      <c r="AL846" s="5"/>
      <c r="AM846" s="5"/>
      <c r="AN846" s="5"/>
      <c r="AO846" s="5"/>
      <c r="AP846" s="5"/>
      <c r="AQ846" s="5"/>
      <c r="AR846" s="5"/>
    </row>
    <row r="847" ht="15.75" customHeight="1">
      <c r="A847" s="36"/>
      <c r="B847" s="37"/>
      <c r="C847" s="2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33"/>
      <c r="AL847" s="5"/>
      <c r="AM847" s="5"/>
      <c r="AN847" s="5"/>
      <c r="AO847" s="5"/>
      <c r="AP847" s="5"/>
      <c r="AQ847" s="5"/>
      <c r="AR847" s="5"/>
    </row>
    <row r="848" ht="15.75" customHeight="1">
      <c r="A848" s="36"/>
      <c r="B848" s="37"/>
      <c r="C848" s="2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33"/>
      <c r="AL848" s="5"/>
      <c r="AM848" s="5"/>
      <c r="AN848" s="5"/>
      <c r="AO848" s="5"/>
      <c r="AP848" s="5"/>
      <c r="AQ848" s="5"/>
      <c r="AR848" s="5"/>
    </row>
    <row r="849" ht="15.75" customHeight="1">
      <c r="A849" s="36"/>
      <c r="B849" s="37"/>
      <c r="C849" s="2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33"/>
      <c r="AL849" s="5"/>
      <c r="AM849" s="5"/>
      <c r="AN849" s="5"/>
      <c r="AO849" s="5"/>
      <c r="AP849" s="5"/>
      <c r="AQ849" s="5"/>
      <c r="AR849" s="5"/>
    </row>
    <row r="850" ht="15.75" customHeight="1">
      <c r="A850" s="36"/>
      <c r="B850" s="37"/>
      <c r="C850" s="2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33"/>
      <c r="AL850" s="5"/>
      <c r="AM850" s="5"/>
      <c r="AN850" s="5"/>
      <c r="AO850" s="5"/>
      <c r="AP850" s="5"/>
      <c r="AQ850" s="5"/>
      <c r="AR850" s="5"/>
    </row>
    <row r="851" ht="15.75" customHeight="1">
      <c r="A851" s="36"/>
      <c r="B851" s="37"/>
      <c r="C851" s="2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33"/>
      <c r="AL851" s="5"/>
      <c r="AM851" s="5"/>
      <c r="AN851" s="5"/>
      <c r="AO851" s="5"/>
      <c r="AP851" s="5"/>
      <c r="AQ851" s="5"/>
      <c r="AR851" s="5"/>
    </row>
    <row r="852" ht="15.75" customHeight="1">
      <c r="A852" s="36"/>
      <c r="B852" s="37"/>
      <c r="C852" s="2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33"/>
      <c r="AL852" s="5"/>
      <c r="AM852" s="5"/>
      <c r="AN852" s="5"/>
      <c r="AO852" s="5"/>
      <c r="AP852" s="5"/>
      <c r="AQ852" s="5"/>
      <c r="AR852" s="5"/>
    </row>
    <row r="853" ht="15.75" customHeight="1">
      <c r="A853" s="36"/>
      <c r="B853" s="37"/>
      <c r="C853" s="2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33"/>
      <c r="AL853" s="5"/>
      <c r="AM853" s="5"/>
      <c r="AN853" s="5"/>
      <c r="AO853" s="5"/>
      <c r="AP853" s="5"/>
      <c r="AQ853" s="5"/>
      <c r="AR853" s="5"/>
    </row>
    <row r="854" ht="15.75" customHeight="1">
      <c r="A854" s="36"/>
      <c r="B854" s="37"/>
      <c r="C854" s="2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33"/>
      <c r="AL854" s="5"/>
      <c r="AM854" s="5"/>
      <c r="AN854" s="5"/>
      <c r="AO854" s="5"/>
      <c r="AP854" s="5"/>
      <c r="AQ854" s="5"/>
      <c r="AR854" s="5"/>
    </row>
    <row r="855" ht="15.75" customHeight="1">
      <c r="A855" s="36"/>
      <c r="B855" s="37"/>
      <c r="C855" s="2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33"/>
      <c r="AL855" s="5"/>
      <c r="AM855" s="5"/>
      <c r="AN855" s="5"/>
      <c r="AO855" s="5"/>
      <c r="AP855" s="5"/>
      <c r="AQ855" s="5"/>
      <c r="AR855" s="5"/>
    </row>
    <row r="856" ht="15.75" customHeight="1">
      <c r="A856" s="36"/>
      <c r="B856" s="37"/>
      <c r="C856" s="2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33"/>
      <c r="AL856" s="5"/>
      <c r="AM856" s="5"/>
      <c r="AN856" s="5"/>
      <c r="AO856" s="5"/>
      <c r="AP856" s="5"/>
      <c r="AQ856" s="5"/>
      <c r="AR856" s="5"/>
    </row>
    <row r="857" ht="15.75" customHeight="1">
      <c r="A857" s="36"/>
      <c r="B857" s="37"/>
      <c r="C857" s="2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33"/>
      <c r="AL857" s="5"/>
      <c r="AM857" s="5"/>
      <c r="AN857" s="5"/>
      <c r="AO857" s="5"/>
      <c r="AP857" s="5"/>
      <c r="AQ857" s="5"/>
      <c r="AR857" s="5"/>
    </row>
    <row r="858" ht="15.75" customHeight="1">
      <c r="A858" s="36"/>
      <c r="B858" s="37"/>
      <c r="C858" s="2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33"/>
      <c r="AL858" s="5"/>
      <c r="AM858" s="5"/>
      <c r="AN858" s="5"/>
      <c r="AO858" s="5"/>
      <c r="AP858" s="5"/>
      <c r="AQ858" s="5"/>
      <c r="AR858" s="5"/>
    </row>
    <row r="859" ht="15.75" customHeight="1">
      <c r="A859" s="36"/>
      <c r="B859" s="37"/>
      <c r="C859" s="2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33"/>
      <c r="AL859" s="5"/>
      <c r="AM859" s="5"/>
      <c r="AN859" s="5"/>
      <c r="AO859" s="5"/>
      <c r="AP859" s="5"/>
      <c r="AQ859" s="5"/>
      <c r="AR859" s="5"/>
    </row>
    <row r="860" ht="15.75" customHeight="1">
      <c r="A860" s="36"/>
      <c r="B860" s="37"/>
      <c r="C860" s="2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33"/>
      <c r="AL860" s="5"/>
      <c r="AM860" s="5"/>
      <c r="AN860" s="5"/>
      <c r="AO860" s="5"/>
      <c r="AP860" s="5"/>
      <c r="AQ860" s="5"/>
      <c r="AR860" s="5"/>
    </row>
    <row r="861" ht="15.75" customHeight="1">
      <c r="A861" s="36"/>
      <c r="B861" s="37"/>
      <c r="C861" s="2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33"/>
      <c r="AL861" s="5"/>
      <c r="AM861" s="5"/>
      <c r="AN861" s="5"/>
      <c r="AO861" s="5"/>
      <c r="AP861" s="5"/>
      <c r="AQ861" s="5"/>
      <c r="AR861" s="5"/>
    </row>
    <row r="862" ht="15.75" customHeight="1">
      <c r="A862" s="36"/>
      <c r="B862" s="37"/>
      <c r="C862" s="2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33"/>
      <c r="AL862" s="5"/>
      <c r="AM862" s="5"/>
      <c r="AN862" s="5"/>
      <c r="AO862" s="5"/>
      <c r="AP862" s="5"/>
      <c r="AQ862" s="5"/>
      <c r="AR862" s="5"/>
    </row>
    <row r="863" ht="15.75" customHeight="1">
      <c r="A863" s="36"/>
      <c r="B863" s="37"/>
      <c r="C863" s="2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33"/>
      <c r="AL863" s="5"/>
      <c r="AM863" s="5"/>
      <c r="AN863" s="5"/>
      <c r="AO863" s="5"/>
      <c r="AP863" s="5"/>
      <c r="AQ863" s="5"/>
      <c r="AR863" s="5"/>
    </row>
    <row r="864" ht="15.75" customHeight="1">
      <c r="A864" s="36"/>
      <c r="B864" s="37"/>
      <c r="C864" s="2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33"/>
      <c r="AL864" s="5"/>
      <c r="AM864" s="5"/>
      <c r="AN864" s="5"/>
      <c r="AO864" s="5"/>
      <c r="AP864" s="5"/>
      <c r="AQ864" s="5"/>
      <c r="AR864" s="5"/>
    </row>
    <row r="865" ht="15.75" customHeight="1">
      <c r="A865" s="36"/>
      <c r="B865" s="37"/>
      <c r="C865" s="2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33"/>
      <c r="AL865" s="5"/>
      <c r="AM865" s="5"/>
      <c r="AN865" s="5"/>
      <c r="AO865" s="5"/>
      <c r="AP865" s="5"/>
      <c r="AQ865" s="5"/>
      <c r="AR865" s="5"/>
    </row>
    <row r="866" ht="15.75" customHeight="1">
      <c r="A866" s="36"/>
      <c r="B866" s="37"/>
      <c r="C866" s="2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33"/>
      <c r="AL866" s="5"/>
      <c r="AM866" s="5"/>
      <c r="AN866" s="5"/>
      <c r="AO866" s="5"/>
      <c r="AP866" s="5"/>
      <c r="AQ866" s="5"/>
      <c r="AR866" s="5"/>
    </row>
    <row r="867" ht="15.75" customHeight="1">
      <c r="A867" s="36"/>
      <c r="B867" s="37"/>
      <c r="C867" s="2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33"/>
      <c r="AL867" s="5"/>
      <c r="AM867" s="5"/>
      <c r="AN867" s="5"/>
      <c r="AO867" s="5"/>
      <c r="AP867" s="5"/>
      <c r="AQ867" s="5"/>
      <c r="AR867" s="5"/>
    </row>
    <row r="868" ht="15.75" customHeight="1">
      <c r="A868" s="36"/>
      <c r="B868" s="37"/>
      <c r="C868" s="2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33"/>
      <c r="AL868" s="5"/>
      <c r="AM868" s="5"/>
      <c r="AN868" s="5"/>
      <c r="AO868" s="5"/>
      <c r="AP868" s="5"/>
      <c r="AQ868" s="5"/>
      <c r="AR868" s="5"/>
    </row>
    <row r="869" ht="15.75" customHeight="1">
      <c r="A869" s="36"/>
      <c r="B869" s="37"/>
      <c r="C869" s="2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33"/>
      <c r="AL869" s="5"/>
      <c r="AM869" s="5"/>
      <c r="AN869" s="5"/>
      <c r="AO869" s="5"/>
      <c r="AP869" s="5"/>
      <c r="AQ869" s="5"/>
      <c r="AR869" s="5"/>
    </row>
    <row r="870" ht="15.75" customHeight="1">
      <c r="A870" s="36"/>
      <c r="B870" s="37"/>
      <c r="C870" s="2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33"/>
      <c r="AL870" s="5"/>
      <c r="AM870" s="5"/>
      <c r="AN870" s="5"/>
      <c r="AO870" s="5"/>
      <c r="AP870" s="5"/>
      <c r="AQ870" s="5"/>
      <c r="AR870" s="5"/>
    </row>
    <row r="871" ht="15.75" customHeight="1">
      <c r="A871" s="36"/>
      <c r="B871" s="37"/>
      <c r="C871" s="2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33"/>
      <c r="AL871" s="5"/>
      <c r="AM871" s="5"/>
      <c r="AN871" s="5"/>
      <c r="AO871" s="5"/>
      <c r="AP871" s="5"/>
      <c r="AQ871" s="5"/>
      <c r="AR871" s="5"/>
    </row>
    <row r="872" ht="15.75" customHeight="1">
      <c r="A872" s="36"/>
      <c r="B872" s="37"/>
      <c r="C872" s="2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33"/>
      <c r="AL872" s="5"/>
      <c r="AM872" s="5"/>
      <c r="AN872" s="5"/>
      <c r="AO872" s="5"/>
      <c r="AP872" s="5"/>
      <c r="AQ872" s="5"/>
      <c r="AR872" s="5"/>
    </row>
    <row r="873" ht="15.75" customHeight="1">
      <c r="A873" s="36"/>
      <c r="B873" s="37"/>
      <c r="C873" s="2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33"/>
      <c r="AL873" s="5"/>
      <c r="AM873" s="5"/>
      <c r="AN873" s="5"/>
      <c r="AO873" s="5"/>
      <c r="AP873" s="5"/>
      <c r="AQ873" s="5"/>
      <c r="AR873" s="5"/>
    </row>
    <row r="874" ht="15.75" customHeight="1">
      <c r="A874" s="36"/>
      <c r="B874" s="37"/>
      <c r="C874" s="2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33"/>
      <c r="AL874" s="5"/>
      <c r="AM874" s="5"/>
      <c r="AN874" s="5"/>
      <c r="AO874" s="5"/>
      <c r="AP874" s="5"/>
      <c r="AQ874" s="5"/>
      <c r="AR874" s="5"/>
    </row>
    <row r="875" ht="15.75" customHeight="1">
      <c r="A875" s="36"/>
      <c r="B875" s="37"/>
      <c r="C875" s="2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33"/>
      <c r="AL875" s="5"/>
      <c r="AM875" s="5"/>
      <c r="AN875" s="5"/>
      <c r="AO875" s="5"/>
      <c r="AP875" s="5"/>
      <c r="AQ875" s="5"/>
      <c r="AR875" s="5"/>
    </row>
    <row r="876" ht="15.75" customHeight="1">
      <c r="A876" s="36"/>
      <c r="B876" s="37"/>
      <c r="C876" s="2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33"/>
      <c r="AL876" s="5"/>
      <c r="AM876" s="5"/>
      <c r="AN876" s="5"/>
      <c r="AO876" s="5"/>
      <c r="AP876" s="5"/>
      <c r="AQ876" s="5"/>
      <c r="AR876" s="5"/>
    </row>
    <row r="877" ht="15.75" customHeight="1">
      <c r="A877" s="36"/>
      <c r="B877" s="37"/>
      <c r="C877" s="2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33"/>
      <c r="AL877" s="5"/>
      <c r="AM877" s="5"/>
      <c r="AN877" s="5"/>
      <c r="AO877" s="5"/>
      <c r="AP877" s="5"/>
      <c r="AQ877" s="5"/>
      <c r="AR877" s="5"/>
    </row>
    <row r="878" ht="15.75" customHeight="1">
      <c r="A878" s="36"/>
      <c r="B878" s="37"/>
      <c r="C878" s="2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33"/>
      <c r="AL878" s="5"/>
      <c r="AM878" s="5"/>
      <c r="AN878" s="5"/>
      <c r="AO878" s="5"/>
      <c r="AP878" s="5"/>
      <c r="AQ878" s="5"/>
      <c r="AR878" s="5"/>
    </row>
    <row r="879" ht="15.75" customHeight="1">
      <c r="A879" s="36"/>
      <c r="B879" s="37"/>
      <c r="C879" s="2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33"/>
      <c r="AL879" s="5"/>
      <c r="AM879" s="5"/>
      <c r="AN879" s="5"/>
      <c r="AO879" s="5"/>
      <c r="AP879" s="5"/>
      <c r="AQ879" s="5"/>
      <c r="AR879" s="5"/>
    </row>
    <row r="880" ht="15.75" customHeight="1">
      <c r="A880" s="36"/>
      <c r="B880" s="37"/>
      <c r="C880" s="2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33"/>
      <c r="AL880" s="5"/>
      <c r="AM880" s="5"/>
      <c r="AN880" s="5"/>
      <c r="AO880" s="5"/>
      <c r="AP880" s="5"/>
      <c r="AQ880" s="5"/>
      <c r="AR880" s="5"/>
    </row>
    <row r="881" ht="15.75" customHeight="1">
      <c r="A881" s="36"/>
      <c r="B881" s="37"/>
      <c r="C881" s="2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33"/>
      <c r="AL881" s="5"/>
      <c r="AM881" s="5"/>
      <c r="AN881" s="5"/>
      <c r="AO881" s="5"/>
      <c r="AP881" s="5"/>
      <c r="AQ881" s="5"/>
      <c r="AR881" s="5"/>
    </row>
    <row r="882" ht="15.75" customHeight="1">
      <c r="A882" s="36"/>
      <c r="B882" s="37"/>
      <c r="C882" s="2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33"/>
      <c r="AL882" s="5"/>
      <c r="AM882" s="5"/>
      <c r="AN882" s="5"/>
      <c r="AO882" s="5"/>
      <c r="AP882" s="5"/>
      <c r="AQ882" s="5"/>
      <c r="AR882" s="5"/>
    </row>
    <row r="883" ht="15.75" customHeight="1">
      <c r="A883" s="36"/>
      <c r="B883" s="37"/>
      <c r="C883" s="2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33"/>
      <c r="AL883" s="5"/>
      <c r="AM883" s="5"/>
      <c r="AN883" s="5"/>
      <c r="AO883" s="5"/>
      <c r="AP883" s="5"/>
      <c r="AQ883" s="5"/>
      <c r="AR883" s="5"/>
    </row>
    <row r="884" ht="15.75" customHeight="1">
      <c r="A884" s="36"/>
      <c r="B884" s="37"/>
      <c r="C884" s="2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33"/>
      <c r="AL884" s="5"/>
      <c r="AM884" s="5"/>
      <c r="AN884" s="5"/>
      <c r="AO884" s="5"/>
      <c r="AP884" s="5"/>
      <c r="AQ884" s="5"/>
      <c r="AR884" s="5"/>
    </row>
    <row r="885" ht="15.75" customHeight="1">
      <c r="A885" s="36"/>
      <c r="B885" s="37"/>
      <c r="C885" s="2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33"/>
      <c r="AL885" s="5"/>
      <c r="AM885" s="5"/>
      <c r="AN885" s="5"/>
      <c r="AO885" s="5"/>
      <c r="AP885" s="5"/>
      <c r="AQ885" s="5"/>
      <c r="AR885" s="5"/>
    </row>
    <row r="886" ht="15.75" customHeight="1">
      <c r="A886" s="36"/>
      <c r="B886" s="37"/>
      <c r="C886" s="2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33"/>
      <c r="AL886" s="5"/>
      <c r="AM886" s="5"/>
      <c r="AN886" s="5"/>
      <c r="AO886" s="5"/>
      <c r="AP886" s="5"/>
      <c r="AQ886" s="5"/>
      <c r="AR886" s="5"/>
    </row>
    <row r="887" ht="15.75" customHeight="1">
      <c r="A887" s="36"/>
      <c r="B887" s="37"/>
      <c r="C887" s="2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33"/>
      <c r="AL887" s="5"/>
      <c r="AM887" s="5"/>
      <c r="AN887" s="5"/>
      <c r="AO887" s="5"/>
      <c r="AP887" s="5"/>
      <c r="AQ887" s="5"/>
      <c r="AR887" s="5"/>
    </row>
    <row r="888" ht="15.75" customHeight="1">
      <c r="A888" s="36"/>
      <c r="B888" s="37"/>
      <c r="C888" s="2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33"/>
      <c r="AL888" s="5"/>
      <c r="AM888" s="5"/>
      <c r="AN888" s="5"/>
      <c r="AO888" s="5"/>
      <c r="AP888" s="5"/>
      <c r="AQ888" s="5"/>
      <c r="AR888" s="5"/>
    </row>
    <row r="889" ht="15.75" customHeight="1">
      <c r="A889" s="36"/>
      <c r="B889" s="37"/>
      <c r="C889" s="2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33"/>
      <c r="AL889" s="5"/>
      <c r="AM889" s="5"/>
      <c r="AN889" s="5"/>
      <c r="AO889" s="5"/>
      <c r="AP889" s="5"/>
      <c r="AQ889" s="5"/>
      <c r="AR889" s="5"/>
    </row>
    <row r="890" ht="15.75" customHeight="1">
      <c r="A890" s="36"/>
      <c r="B890" s="37"/>
      <c r="C890" s="2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33"/>
      <c r="AL890" s="5"/>
      <c r="AM890" s="5"/>
      <c r="AN890" s="5"/>
      <c r="AO890" s="5"/>
      <c r="AP890" s="5"/>
      <c r="AQ890" s="5"/>
      <c r="AR890" s="5"/>
    </row>
    <row r="891" ht="15.75" customHeight="1">
      <c r="A891" s="36"/>
      <c r="B891" s="37"/>
      <c r="C891" s="2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33"/>
      <c r="AL891" s="5"/>
      <c r="AM891" s="5"/>
      <c r="AN891" s="5"/>
      <c r="AO891" s="5"/>
      <c r="AP891" s="5"/>
      <c r="AQ891" s="5"/>
      <c r="AR891" s="5"/>
    </row>
    <row r="892" ht="15.75" customHeight="1">
      <c r="A892" s="36"/>
      <c r="B892" s="37"/>
      <c r="C892" s="2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33"/>
      <c r="AL892" s="5"/>
      <c r="AM892" s="5"/>
      <c r="AN892" s="5"/>
      <c r="AO892" s="5"/>
      <c r="AP892" s="5"/>
      <c r="AQ892" s="5"/>
      <c r="AR892" s="5"/>
    </row>
    <row r="893" ht="15.75" customHeight="1">
      <c r="A893" s="36"/>
      <c r="B893" s="37"/>
      <c r="C893" s="2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33"/>
      <c r="AL893" s="5"/>
      <c r="AM893" s="5"/>
      <c r="AN893" s="5"/>
      <c r="AO893" s="5"/>
      <c r="AP893" s="5"/>
      <c r="AQ893" s="5"/>
      <c r="AR893" s="5"/>
    </row>
    <row r="894" ht="15.75" customHeight="1">
      <c r="A894" s="36"/>
      <c r="B894" s="37"/>
      <c r="C894" s="2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33"/>
      <c r="AL894" s="5"/>
      <c r="AM894" s="5"/>
      <c r="AN894" s="5"/>
      <c r="AO894" s="5"/>
      <c r="AP894" s="5"/>
      <c r="AQ894" s="5"/>
      <c r="AR894" s="5"/>
    </row>
    <row r="895" ht="15.75" customHeight="1">
      <c r="A895" s="36"/>
      <c r="B895" s="37"/>
      <c r="C895" s="2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33"/>
      <c r="AL895" s="5"/>
      <c r="AM895" s="5"/>
      <c r="AN895" s="5"/>
      <c r="AO895" s="5"/>
      <c r="AP895" s="5"/>
      <c r="AQ895" s="5"/>
      <c r="AR895" s="5"/>
    </row>
    <row r="896" ht="15.75" customHeight="1">
      <c r="A896" s="36"/>
      <c r="B896" s="37"/>
      <c r="C896" s="2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33"/>
      <c r="AL896" s="5"/>
      <c r="AM896" s="5"/>
      <c r="AN896" s="5"/>
      <c r="AO896" s="5"/>
      <c r="AP896" s="5"/>
      <c r="AQ896" s="5"/>
      <c r="AR896" s="5"/>
    </row>
    <row r="897" ht="15.75" customHeight="1">
      <c r="A897" s="36"/>
      <c r="B897" s="37"/>
      <c r="C897" s="2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33"/>
      <c r="AL897" s="5"/>
      <c r="AM897" s="5"/>
      <c r="AN897" s="5"/>
      <c r="AO897" s="5"/>
      <c r="AP897" s="5"/>
      <c r="AQ897" s="5"/>
      <c r="AR897" s="5"/>
    </row>
    <row r="898" ht="15.75" customHeight="1">
      <c r="A898" s="36"/>
      <c r="B898" s="37"/>
      <c r="C898" s="2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33"/>
      <c r="AL898" s="5"/>
      <c r="AM898" s="5"/>
      <c r="AN898" s="5"/>
      <c r="AO898" s="5"/>
      <c r="AP898" s="5"/>
      <c r="AQ898" s="5"/>
      <c r="AR898" s="5"/>
    </row>
    <row r="899" ht="15.75" customHeight="1">
      <c r="A899" s="36"/>
      <c r="B899" s="37"/>
      <c r="C899" s="2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33"/>
      <c r="AL899" s="5"/>
      <c r="AM899" s="5"/>
      <c r="AN899" s="5"/>
      <c r="AO899" s="5"/>
      <c r="AP899" s="5"/>
      <c r="AQ899" s="5"/>
      <c r="AR899" s="5"/>
    </row>
    <row r="900" ht="15.75" customHeight="1">
      <c r="A900" s="36"/>
      <c r="B900" s="37"/>
      <c r="C900" s="2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33"/>
      <c r="AL900" s="5"/>
      <c r="AM900" s="5"/>
      <c r="AN900" s="5"/>
      <c r="AO900" s="5"/>
      <c r="AP900" s="5"/>
      <c r="AQ900" s="5"/>
      <c r="AR900" s="5"/>
    </row>
    <row r="901" ht="15.75" customHeight="1">
      <c r="A901" s="36"/>
      <c r="B901" s="37"/>
      <c r="C901" s="2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33"/>
      <c r="AL901" s="5"/>
      <c r="AM901" s="5"/>
      <c r="AN901" s="5"/>
      <c r="AO901" s="5"/>
      <c r="AP901" s="5"/>
      <c r="AQ901" s="5"/>
      <c r="AR901" s="5"/>
    </row>
    <row r="902" ht="15.75" customHeight="1">
      <c r="A902" s="36"/>
      <c r="B902" s="37"/>
      <c r="C902" s="2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33"/>
      <c r="AL902" s="5"/>
      <c r="AM902" s="5"/>
      <c r="AN902" s="5"/>
      <c r="AO902" s="5"/>
      <c r="AP902" s="5"/>
      <c r="AQ902" s="5"/>
      <c r="AR902" s="5"/>
    </row>
    <row r="903" ht="15.75" customHeight="1">
      <c r="A903" s="36"/>
      <c r="B903" s="37"/>
      <c r="C903" s="2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33"/>
      <c r="AL903" s="5"/>
      <c r="AM903" s="5"/>
      <c r="AN903" s="5"/>
      <c r="AO903" s="5"/>
      <c r="AP903" s="5"/>
      <c r="AQ903" s="5"/>
      <c r="AR903" s="5"/>
    </row>
    <row r="904" ht="15.75" customHeight="1">
      <c r="A904" s="36"/>
      <c r="B904" s="37"/>
      <c r="C904" s="2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33"/>
      <c r="AL904" s="5"/>
      <c r="AM904" s="5"/>
      <c r="AN904" s="5"/>
      <c r="AO904" s="5"/>
      <c r="AP904" s="5"/>
      <c r="AQ904" s="5"/>
      <c r="AR904" s="5"/>
    </row>
    <row r="905" ht="15.75" customHeight="1">
      <c r="A905" s="36"/>
      <c r="B905" s="37"/>
      <c r="C905" s="2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33"/>
      <c r="AL905" s="5"/>
      <c r="AM905" s="5"/>
      <c r="AN905" s="5"/>
      <c r="AO905" s="5"/>
      <c r="AP905" s="5"/>
      <c r="AQ905" s="5"/>
      <c r="AR905" s="5"/>
    </row>
    <row r="906" ht="15.75" customHeight="1">
      <c r="A906" s="36"/>
      <c r="B906" s="37"/>
      <c r="C906" s="2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33"/>
      <c r="AL906" s="5"/>
      <c r="AM906" s="5"/>
      <c r="AN906" s="5"/>
      <c r="AO906" s="5"/>
      <c r="AP906" s="5"/>
      <c r="AQ906" s="5"/>
      <c r="AR906" s="5"/>
    </row>
    <row r="907" ht="15.75" customHeight="1">
      <c r="A907" s="36"/>
      <c r="B907" s="37"/>
      <c r="C907" s="2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33"/>
      <c r="AL907" s="5"/>
      <c r="AM907" s="5"/>
      <c r="AN907" s="5"/>
      <c r="AO907" s="5"/>
      <c r="AP907" s="5"/>
      <c r="AQ907" s="5"/>
      <c r="AR907" s="5"/>
    </row>
    <row r="908" ht="15.75" customHeight="1">
      <c r="A908" s="36"/>
      <c r="B908" s="37"/>
      <c r="C908" s="2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33"/>
      <c r="AL908" s="5"/>
      <c r="AM908" s="5"/>
      <c r="AN908" s="5"/>
      <c r="AO908" s="5"/>
      <c r="AP908" s="5"/>
      <c r="AQ908" s="5"/>
      <c r="AR908" s="5"/>
    </row>
    <row r="909" ht="15.75" customHeight="1">
      <c r="A909" s="36"/>
      <c r="B909" s="37"/>
      <c r="C909" s="2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33"/>
      <c r="AL909" s="5"/>
      <c r="AM909" s="5"/>
      <c r="AN909" s="5"/>
      <c r="AO909" s="5"/>
      <c r="AP909" s="5"/>
      <c r="AQ909" s="5"/>
      <c r="AR909" s="5"/>
    </row>
    <row r="910" ht="15.75" customHeight="1">
      <c r="A910" s="36"/>
      <c r="B910" s="37"/>
      <c r="C910" s="2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33"/>
      <c r="AL910" s="5"/>
      <c r="AM910" s="5"/>
      <c r="AN910" s="5"/>
      <c r="AO910" s="5"/>
      <c r="AP910" s="5"/>
      <c r="AQ910" s="5"/>
      <c r="AR910" s="5"/>
    </row>
    <row r="911" ht="15.75" customHeight="1">
      <c r="A911" s="36"/>
      <c r="B911" s="37"/>
      <c r="C911" s="2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33"/>
      <c r="AL911" s="5"/>
      <c r="AM911" s="5"/>
      <c r="AN911" s="5"/>
      <c r="AO911" s="5"/>
      <c r="AP911" s="5"/>
      <c r="AQ911" s="5"/>
      <c r="AR911" s="5"/>
    </row>
    <row r="912" ht="15.75" customHeight="1">
      <c r="A912" s="36"/>
      <c r="B912" s="37"/>
      <c r="C912" s="2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33"/>
      <c r="AL912" s="5"/>
      <c r="AM912" s="5"/>
      <c r="AN912" s="5"/>
      <c r="AO912" s="5"/>
      <c r="AP912" s="5"/>
      <c r="AQ912" s="5"/>
      <c r="AR912" s="5"/>
    </row>
    <row r="913" ht="15.75" customHeight="1">
      <c r="A913" s="36"/>
      <c r="B913" s="37"/>
      <c r="C913" s="2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33"/>
      <c r="AL913" s="5"/>
      <c r="AM913" s="5"/>
      <c r="AN913" s="5"/>
      <c r="AO913" s="5"/>
      <c r="AP913" s="5"/>
      <c r="AQ913" s="5"/>
      <c r="AR913" s="5"/>
    </row>
    <row r="914" ht="15.75" customHeight="1">
      <c r="A914" s="36"/>
      <c r="B914" s="37"/>
      <c r="C914" s="2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33"/>
      <c r="AL914" s="5"/>
      <c r="AM914" s="5"/>
      <c r="AN914" s="5"/>
      <c r="AO914" s="5"/>
      <c r="AP914" s="5"/>
      <c r="AQ914" s="5"/>
      <c r="AR914" s="5"/>
    </row>
    <row r="915" ht="15.75" customHeight="1">
      <c r="A915" s="36"/>
      <c r="B915" s="37"/>
      <c r="C915" s="2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33"/>
      <c r="AL915" s="5"/>
      <c r="AM915" s="5"/>
      <c r="AN915" s="5"/>
      <c r="AO915" s="5"/>
      <c r="AP915" s="5"/>
      <c r="AQ915" s="5"/>
      <c r="AR915" s="5"/>
    </row>
    <row r="916" ht="15.75" customHeight="1">
      <c r="A916" s="36"/>
      <c r="B916" s="37"/>
      <c r="C916" s="2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33"/>
      <c r="AL916" s="5"/>
      <c r="AM916" s="5"/>
      <c r="AN916" s="5"/>
      <c r="AO916" s="5"/>
      <c r="AP916" s="5"/>
      <c r="AQ916" s="5"/>
      <c r="AR916" s="5"/>
    </row>
    <row r="917" ht="15.75" customHeight="1">
      <c r="A917" s="36"/>
      <c r="B917" s="37"/>
      <c r="C917" s="2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33"/>
      <c r="AL917" s="5"/>
      <c r="AM917" s="5"/>
      <c r="AN917" s="5"/>
      <c r="AO917" s="5"/>
      <c r="AP917" s="5"/>
      <c r="AQ917" s="5"/>
      <c r="AR917" s="5"/>
    </row>
    <row r="918" ht="15.75" customHeight="1">
      <c r="A918" s="36"/>
      <c r="B918" s="37"/>
      <c r="C918" s="2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33"/>
      <c r="AL918" s="5"/>
      <c r="AM918" s="5"/>
      <c r="AN918" s="5"/>
      <c r="AO918" s="5"/>
      <c r="AP918" s="5"/>
      <c r="AQ918" s="5"/>
      <c r="AR918" s="5"/>
    </row>
    <row r="919" ht="15.75" customHeight="1">
      <c r="A919" s="36"/>
      <c r="B919" s="37"/>
      <c r="C919" s="2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33"/>
      <c r="AL919" s="5"/>
      <c r="AM919" s="5"/>
      <c r="AN919" s="5"/>
      <c r="AO919" s="5"/>
      <c r="AP919" s="5"/>
      <c r="AQ919" s="5"/>
      <c r="AR919" s="5"/>
    </row>
    <row r="920" ht="15.75" customHeight="1">
      <c r="A920" s="36"/>
      <c r="B920" s="37"/>
      <c r="C920" s="2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33"/>
      <c r="AL920" s="5"/>
      <c r="AM920" s="5"/>
      <c r="AN920" s="5"/>
      <c r="AO920" s="5"/>
      <c r="AP920" s="5"/>
      <c r="AQ920" s="5"/>
      <c r="AR920" s="5"/>
    </row>
    <row r="921" ht="15.75" customHeight="1">
      <c r="A921" s="36"/>
      <c r="B921" s="37"/>
      <c r="C921" s="2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33"/>
      <c r="AL921" s="5"/>
      <c r="AM921" s="5"/>
      <c r="AN921" s="5"/>
      <c r="AO921" s="5"/>
      <c r="AP921" s="5"/>
      <c r="AQ921" s="5"/>
      <c r="AR921" s="5"/>
    </row>
    <row r="922" ht="15.75" customHeight="1">
      <c r="A922" s="36"/>
      <c r="B922" s="37"/>
      <c r="C922" s="2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33"/>
      <c r="AL922" s="5"/>
      <c r="AM922" s="5"/>
      <c r="AN922" s="5"/>
      <c r="AO922" s="5"/>
      <c r="AP922" s="5"/>
      <c r="AQ922" s="5"/>
      <c r="AR922" s="5"/>
    </row>
    <row r="923" ht="15.75" customHeight="1">
      <c r="A923" s="36"/>
      <c r="B923" s="37"/>
      <c r="C923" s="2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33"/>
      <c r="AL923" s="5"/>
      <c r="AM923" s="5"/>
      <c r="AN923" s="5"/>
      <c r="AO923" s="5"/>
      <c r="AP923" s="5"/>
      <c r="AQ923" s="5"/>
      <c r="AR923" s="5"/>
    </row>
    <row r="924" ht="15.75" customHeight="1">
      <c r="A924" s="36"/>
      <c r="B924" s="37"/>
      <c r="C924" s="2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33"/>
      <c r="AL924" s="5"/>
      <c r="AM924" s="5"/>
      <c r="AN924" s="5"/>
      <c r="AO924" s="5"/>
      <c r="AP924" s="5"/>
      <c r="AQ924" s="5"/>
      <c r="AR924" s="5"/>
    </row>
    <row r="925" ht="15.75" customHeight="1">
      <c r="A925" s="36"/>
      <c r="B925" s="37"/>
      <c r="C925" s="2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33"/>
      <c r="AL925" s="5"/>
      <c r="AM925" s="5"/>
      <c r="AN925" s="5"/>
      <c r="AO925" s="5"/>
      <c r="AP925" s="5"/>
      <c r="AQ925" s="5"/>
      <c r="AR925" s="5"/>
    </row>
    <row r="926" ht="15.75" customHeight="1">
      <c r="A926" s="36"/>
      <c r="B926" s="37"/>
      <c r="C926" s="2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33"/>
      <c r="AL926" s="5"/>
      <c r="AM926" s="5"/>
      <c r="AN926" s="5"/>
      <c r="AO926" s="5"/>
      <c r="AP926" s="5"/>
      <c r="AQ926" s="5"/>
      <c r="AR926" s="5"/>
    </row>
    <row r="927" ht="15.75" customHeight="1">
      <c r="A927" s="36"/>
      <c r="B927" s="37"/>
      <c r="C927" s="2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33"/>
      <c r="AL927" s="5"/>
      <c r="AM927" s="5"/>
      <c r="AN927" s="5"/>
      <c r="AO927" s="5"/>
      <c r="AP927" s="5"/>
      <c r="AQ927" s="5"/>
      <c r="AR927" s="5"/>
    </row>
    <row r="928" ht="15.75" customHeight="1">
      <c r="A928" s="36"/>
      <c r="B928" s="37"/>
      <c r="C928" s="2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33"/>
      <c r="AL928" s="5"/>
      <c r="AM928" s="5"/>
      <c r="AN928" s="5"/>
      <c r="AO928" s="5"/>
      <c r="AP928" s="5"/>
      <c r="AQ928" s="5"/>
      <c r="AR928" s="5"/>
    </row>
    <row r="929" ht="15.75" customHeight="1">
      <c r="A929" s="36"/>
      <c r="B929" s="37"/>
      <c r="C929" s="2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33"/>
      <c r="AL929" s="5"/>
      <c r="AM929" s="5"/>
      <c r="AN929" s="5"/>
      <c r="AO929" s="5"/>
      <c r="AP929" s="5"/>
      <c r="AQ929" s="5"/>
      <c r="AR929" s="5"/>
    </row>
    <row r="930" ht="15.75" customHeight="1">
      <c r="A930" s="36"/>
      <c r="B930" s="37"/>
      <c r="C930" s="2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33"/>
      <c r="AL930" s="5"/>
      <c r="AM930" s="5"/>
      <c r="AN930" s="5"/>
      <c r="AO930" s="5"/>
      <c r="AP930" s="5"/>
      <c r="AQ930" s="5"/>
      <c r="AR930" s="5"/>
    </row>
    <row r="931" ht="15.75" customHeight="1">
      <c r="A931" s="36"/>
      <c r="B931" s="37"/>
      <c r="C931" s="2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33"/>
      <c r="AL931" s="5"/>
      <c r="AM931" s="5"/>
      <c r="AN931" s="5"/>
      <c r="AO931" s="5"/>
      <c r="AP931" s="5"/>
      <c r="AQ931" s="5"/>
      <c r="AR931" s="5"/>
    </row>
    <row r="932" ht="15.75" customHeight="1">
      <c r="A932" s="36"/>
      <c r="B932" s="37"/>
      <c r="C932" s="2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33"/>
      <c r="AL932" s="5"/>
      <c r="AM932" s="5"/>
      <c r="AN932" s="5"/>
      <c r="AO932" s="5"/>
      <c r="AP932" s="5"/>
      <c r="AQ932" s="5"/>
      <c r="AR932" s="5"/>
    </row>
    <row r="933" ht="15.75" customHeight="1">
      <c r="A933" s="36"/>
      <c r="B933" s="37"/>
      <c r="C933" s="2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33"/>
      <c r="AL933" s="5"/>
      <c r="AM933" s="5"/>
      <c r="AN933" s="5"/>
      <c r="AO933" s="5"/>
      <c r="AP933" s="5"/>
      <c r="AQ933" s="5"/>
      <c r="AR933" s="5"/>
    </row>
    <row r="934" ht="15.75" customHeight="1">
      <c r="A934" s="36"/>
      <c r="B934" s="37"/>
      <c r="C934" s="2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33"/>
      <c r="AL934" s="5"/>
      <c r="AM934" s="5"/>
      <c r="AN934" s="5"/>
      <c r="AO934" s="5"/>
      <c r="AP934" s="5"/>
      <c r="AQ934" s="5"/>
      <c r="AR934" s="5"/>
    </row>
    <row r="935" ht="15.75" customHeight="1">
      <c r="A935" s="36"/>
      <c r="B935" s="37"/>
      <c r="C935" s="2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33"/>
      <c r="AL935" s="5"/>
      <c r="AM935" s="5"/>
      <c r="AN935" s="5"/>
      <c r="AO935" s="5"/>
      <c r="AP935" s="5"/>
      <c r="AQ935" s="5"/>
      <c r="AR935" s="5"/>
    </row>
    <row r="936" ht="15.75" customHeight="1">
      <c r="A936" s="36"/>
      <c r="B936" s="37"/>
      <c r="C936" s="2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33"/>
      <c r="AL936" s="5"/>
      <c r="AM936" s="5"/>
      <c r="AN936" s="5"/>
      <c r="AO936" s="5"/>
      <c r="AP936" s="5"/>
      <c r="AQ936" s="5"/>
      <c r="AR936" s="5"/>
    </row>
    <row r="937" ht="15.75" customHeight="1">
      <c r="A937" s="36"/>
      <c r="B937" s="37"/>
      <c r="C937" s="2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33"/>
      <c r="AL937" s="5"/>
      <c r="AM937" s="5"/>
      <c r="AN937" s="5"/>
      <c r="AO937" s="5"/>
      <c r="AP937" s="5"/>
      <c r="AQ937" s="5"/>
      <c r="AR937" s="5"/>
    </row>
    <row r="938" ht="15.75" customHeight="1">
      <c r="A938" s="36"/>
      <c r="B938" s="37"/>
      <c r="C938" s="2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33"/>
      <c r="AL938" s="5"/>
      <c r="AM938" s="5"/>
      <c r="AN938" s="5"/>
      <c r="AO938" s="5"/>
      <c r="AP938" s="5"/>
      <c r="AQ938" s="5"/>
      <c r="AR938" s="5"/>
    </row>
    <row r="939" ht="15.75" customHeight="1">
      <c r="A939" s="36"/>
      <c r="B939" s="37"/>
      <c r="C939" s="2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33"/>
      <c r="AL939" s="5"/>
      <c r="AM939" s="5"/>
      <c r="AN939" s="5"/>
      <c r="AO939" s="5"/>
      <c r="AP939" s="5"/>
      <c r="AQ939" s="5"/>
      <c r="AR939" s="5"/>
    </row>
    <row r="940" ht="15.75" customHeight="1">
      <c r="A940" s="36"/>
      <c r="B940" s="37"/>
      <c r="C940" s="2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33"/>
      <c r="AL940" s="5"/>
      <c r="AM940" s="5"/>
      <c r="AN940" s="5"/>
      <c r="AO940" s="5"/>
      <c r="AP940" s="5"/>
      <c r="AQ940" s="5"/>
      <c r="AR940" s="5"/>
    </row>
    <row r="941" ht="15.75" customHeight="1">
      <c r="A941" s="36"/>
      <c r="B941" s="37"/>
      <c r="C941" s="2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33"/>
      <c r="AL941" s="5"/>
      <c r="AM941" s="5"/>
      <c r="AN941" s="5"/>
      <c r="AO941" s="5"/>
      <c r="AP941" s="5"/>
      <c r="AQ941" s="5"/>
      <c r="AR941" s="5"/>
    </row>
    <row r="942" ht="15.75" customHeight="1">
      <c r="A942" s="36"/>
      <c r="B942" s="37"/>
      <c r="C942" s="2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33"/>
      <c r="AL942" s="5"/>
      <c r="AM942" s="5"/>
      <c r="AN942" s="5"/>
      <c r="AO942" s="5"/>
      <c r="AP942" s="5"/>
      <c r="AQ942" s="5"/>
      <c r="AR942" s="5"/>
    </row>
    <row r="943" ht="15.75" customHeight="1">
      <c r="A943" s="36"/>
      <c r="B943" s="37"/>
      <c r="C943" s="2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33"/>
      <c r="AL943" s="5"/>
      <c r="AM943" s="5"/>
      <c r="AN943" s="5"/>
      <c r="AO943" s="5"/>
      <c r="AP943" s="5"/>
      <c r="AQ943" s="5"/>
      <c r="AR943" s="5"/>
    </row>
    <row r="944" ht="15.75" customHeight="1">
      <c r="A944" s="36"/>
      <c r="B944" s="37"/>
      <c r="C944" s="2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33"/>
      <c r="AL944" s="5"/>
      <c r="AM944" s="5"/>
      <c r="AN944" s="5"/>
      <c r="AO944" s="5"/>
      <c r="AP944" s="5"/>
      <c r="AQ944" s="5"/>
      <c r="AR944" s="5"/>
    </row>
    <row r="945" ht="15.75" customHeight="1">
      <c r="A945" s="36"/>
      <c r="B945" s="37"/>
      <c r="C945" s="2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33"/>
      <c r="AL945" s="5"/>
      <c r="AM945" s="5"/>
      <c r="AN945" s="5"/>
      <c r="AO945" s="5"/>
      <c r="AP945" s="5"/>
      <c r="AQ945" s="5"/>
      <c r="AR945" s="5"/>
    </row>
    <row r="946" ht="15.75" customHeight="1">
      <c r="A946" s="36"/>
      <c r="B946" s="37"/>
      <c r="C946" s="2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33"/>
      <c r="AL946" s="5"/>
      <c r="AM946" s="5"/>
      <c r="AN946" s="5"/>
      <c r="AO946" s="5"/>
      <c r="AP946" s="5"/>
      <c r="AQ946" s="5"/>
      <c r="AR946" s="5"/>
    </row>
    <row r="947" ht="15.75" customHeight="1">
      <c r="A947" s="36"/>
      <c r="B947" s="37"/>
      <c r="C947" s="2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33"/>
      <c r="AL947" s="5"/>
      <c r="AM947" s="5"/>
      <c r="AN947" s="5"/>
      <c r="AO947" s="5"/>
      <c r="AP947" s="5"/>
      <c r="AQ947" s="5"/>
      <c r="AR947" s="5"/>
    </row>
    <row r="948" ht="15.75" customHeight="1">
      <c r="A948" s="36"/>
      <c r="B948" s="37"/>
      <c r="C948" s="2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33"/>
      <c r="AL948" s="5"/>
      <c r="AM948" s="5"/>
      <c r="AN948" s="5"/>
      <c r="AO948" s="5"/>
      <c r="AP948" s="5"/>
      <c r="AQ948" s="5"/>
      <c r="AR948" s="5"/>
    </row>
    <row r="949" ht="15.75" customHeight="1">
      <c r="A949" s="36"/>
      <c r="B949" s="37"/>
      <c r="C949" s="2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33"/>
      <c r="AL949" s="5"/>
      <c r="AM949" s="5"/>
      <c r="AN949" s="5"/>
      <c r="AO949" s="5"/>
      <c r="AP949" s="5"/>
      <c r="AQ949" s="5"/>
      <c r="AR949" s="5"/>
    </row>
    <row r="950" ht="15.75" customHeight="1">
      <c r="A950" s="36"/>
      <c r="B950" s="37"/>
      <c r="C950" s="2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33"/>
      <c r="AL950" s="5"/>
      <c r="AM950" s="5"/>
      <c r="AN950" s="5"/>
      <c r="AO950" s="5"/>
      <c r="AP950" s="5"/>
      <c r="AQ950" s="5"/>
      <c r="AR950" s="5"/>
    </row>
    <row r="951" ht="15.75" customHeight="1">
      <c r="A951" s="36"/>
      <c r="B951" s="37"/>
      <c r="C951" s="2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33"/>
      <c r="AL951" s="5"/>
      <c r="AM951" s="5"/>
      <c r="AN951" s="5"/>
      <c r="AO951" s="5"/>
      <c r="AP951" s="5"/>
      <c r="AQ951" s="5"/>
      <c r="AR951" s="5"/>
    </row>
    <row r="952" ht="15.75" customHeight="1">
      <c r="A952" s="36"/>
      <c r="B952" s="37"/>
      <c r="C952" s="2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33"/>
      <c r="AL952" s="5"/>
      <c r="AM952" s="5"/>
      <c r="AN952" s="5"/>
      <c r="AO952" s="5"/>
      <c r="AP952" s="5"/>
      <c r="AQ952" s="5"/>
      <c r="AR952" s="5"/>
    </row>
    <row r="953" ht="15.75" customHeight="1">
      <c r="A953" s="36"/>
      <c r="B953" s="37"/>
      <c r="C953" s="2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33"/>
      <c r="AL953" s="5"/>
      <c r="AM953" s="5"/>
      <c r="AN953" s="5"/>
      <c r="AO953" s="5"/>
      <c r="AP953" s="5"/>
      <c r="AQ953" s="5"/>
      <c r="AR953" s="5"/>
    </row>
    <row r="954" ht="15.75" customHeight="1">
      <c r="A954" s="36"/>
      <c r="B954" s="37"/>
      <c r="C954" s="2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33"/>
      <c r="AL954" s="5"/>
      <c r="AM954" s="5"/>
      <c r="AN954" s="5"/>
      <c r="AO954" s="5"/>
      <c r="AP954" s="5"/>
      <c r="AQ954" s="5"/>
      <c r="AR954" s="5"/>
    </row>
    <row r="955" ht="15.75" customHeight="1">
      <c r="A955" s="36"/>
      <c r="B955" s="37"/>
      <c r="C955" s="2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33"/>
      <c r="AL955" s="5"/>
      <c r="AM955" s="5"/>
      <c r="AN955" s="5"/>
      <c r="AO955" s="5"/>
      <c r="AP955" s="5"/>
      <c r="AQ955" s="5"/>
      <c r="AR955" s="5"/>
    </row>
    <row r="956" ht="15.75" customHeight="1">
      <c r="A956" s="36"/>
      <c r="B956" s="37"/>
      <c r="C956" s="2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33"/>
      <c r="AL956" s="5"/>
      <c r="AM956" s="5"/>
      <c r="AN956" s="5"/>
      <c r="AO956" s="5"/>
      <c r="AP956" s="5"/>
      <c r="AQ956" s="5"/>
      <c r="AR956" s="5"/>
    </row>
    <row r="957" ht="15.75" customHeight="1">
      <c r="A957" s="36"/>
      <c r="B957" s="37"/>
      <c r="C957" s="2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33"/>
      <c r="AL957" s="5"/>
      <c r="AM957" s="5"/>
      <c r="AN957" s="5"/>
      <c r="AO957" s="5"/>
      <c r="AP957" s="5"/>
      <c r="AQ957" s="5"/>
      <c r="AR957" s="5"/>
    </row>
    <row r="958" ht="15.75" customHeight="1">
      <c r="A958" s="36"/>
      <c r="B958" s="37"/>
      <c r="C958" s="2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33"/>
      <c r="AL958" s="5"/>
      <c r="AM958" s="5"/>
      <c r="AN958" s="5"/>
      <c r="AO958" s="5"/>
      <c r="AP958" s="5"/>
      <c r="AQ958" s="5"/>
      <c r="AR958" s="5"/>
    </row>
    <row r="959" ht="15.75" customHeight="1">
      <c r="A959" s="36"/>
      <c r="B959" s="37"/>
      <c r="C959" s="2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33"/>
      <c r="AL959" s="5"/>
      <c r="AM959" s="5"/>
      <c r="AN959" s="5"/>
      <c r="AO959" s="5"/>
      <c r="AP959" s="5"/>
      <c r="AQ959" s="5"/>
      <c r="AR959" s="5"/>
    </row>
    <row r="960" ht="15.75" customHeight="1">
      <c r="A960" s="36"/>
      <c r="B960" s="37"/>
      <c r="C960" s="2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33"/>
      <c r="AL960" s="5"/>
      <c r="AM960" s="5"/>
      <c r="AN960" s="5"/>
      <c r="AO960" s="5"/>
      <c r="AP960" s="5"/>
      <c r="AQ960" s="5"/>
      <c r="AR960" s="5"/>
    </row>
    <row r="961" ht="15.75" customHeight="1">
      <c r="A961" s="36"/>
      <c r="B961" s="37"/>
      <c r="C961" s="2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33"/>
      <c r="AL961" s="5"/>
      <c r="AM961" s="5"/>
      <c r="AN961" s="5"/>
      <c r="AO961" s="5"/>
      <c r="AP961" s="5"/>
      <c r="AQ961" s="5"/>
      <c r="AR961" s="5"/>
    </row>
    <row r="962" ht="15.75" customHeight="1">
      <c r="A962" s="36"/>
      <c r="B962" s="37"/>
      <c r="C962" s="2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33"/>
      <c r="AL962" s="5"/>
      <c r="AM962" s="5"/>
      <c r="AN962" s="5"/>
      <c r="AO962" s="5"/>
      <c r="AP962" s="5"/>
      <c r="AQ962" s="5"/>
      <c r="AR962" s="5"/>
    </row>
    <row r="963" ht="15.75" customHeight="1">
      <c r="A963" s="36"/>
      <c r="B963" s="37"/>
      <c r="C963" s="2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33"/>
      <c r="AL963" s="5"/>
      <c r="AM963" s="5"/>
      <c r="AN963" s="5"/>
      <c r="AO963" s="5"/>
      <c r="AP963" s="5"/>
      <c r="AQ963" s="5"/>
      <c r="AR963" s="5"/>
    </row>
    <row r="964" ht="15.75" customHeight="1">
      <c r="A964" s="36"/>
      <c r="B964" s="37"/>
      <c r="C964" s="2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33"/>
      <c r="AL964" s="5"/>
      <c r="AM964" s="5"/>
      <c r="AN964" s="5"/>
      <c r="AO964" s="5"/>
      <c r="AP964" s="5"/>
      <c r="AQ964" s="5"/>
      <c r="AR964" s="5"/>
    </row>
    <row r="965" ht="15.75" customHeight="1">
      <c r="A965" s="36"/>
      <c r="B965" s="37"/>
      <c r="C965" s="2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33"/>
      <c r="AL965" s="5"/>
      <c r="AM965" s="5"/>
      <c r="AN965" s="5"/>
      <c r="AO965" s="5"/>
      <c r="AP965" s="5"/>
      <c r="AQ965" s="5"/>
      <c r="AR965" s="5"/>
    </row>
    <row r="966" ht="15.75" customHeight="1">
      <c r="A966" s="36"/>
      <c r="B966" s="37"/>
      <c r="C966" s="2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33"/>
      <c r="AL966" s="5"/>
      <c r="AM966" s="5"/>
      <c r="AN966" s="5"/>
      <c r="AO966" s="5"/>
      <c r="AP966" s="5"/>
      <c r="AQ966" s="5"/>
      <c r="AR966" s="5"/>
    </row>
    <row r="967" ht="15.75" customHeight="1">
      <c r="A967" s="36"/>
      <c r="B967" s="37"/>
      <c r="C967" s="2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33"/>
      <c r="AL967" s="5"/>
      <c r="AM967" s="5"/>
      <c r="AN967" s="5"/>
      <c r="AO967" s="5"/>
      <c r="AP967" s="5"/>
      <c r="AQ967" s="5"/>
      <c r="AR967" s="5"/>
    </row>
    <row r="968" ht="15.75" customHeight="1">
      <c r="A968" s="36"/>
      <c r="B968" s="37"/>
      <c r="C968" s="2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33"/>
      <c r="AL968" s="5"/>
      <c r="AM968" s="5"/>
      <c r="AN968" s="5"/>
      <c r="AO968" s="5"/>
      <c r="AP968" s="5"/>
      <c r="AQ968" s="5"/>
      <c r="AR968" s="5"/>
    </row>
    <row r="969" ht="15.75" customHeight="1">
      <c r="A969" s="36"/>
      <c r="B969" s="37"/>
      <c r="C969" s="2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33"/>
      <c r="AL969" s="5"/>
      <c r="AM969" s="5"/>
      <c r="AN969" s="5"/>
      <c r="AO969" s="5"/>
      <c r="AP969" s="5"/>
      <c r="AQ969" s="5"/>
      <c r="AR969" s="5"/>
    </row>
    <row r="970" ht="15.75" customHeight="1">
      <c r="A970" s="36"/>
      <c r="B970" s="37"/>
      <c r="C970" s="2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33"/>
      <c r="AL970" s="5"/>
      <c r="AM970" s="5"/>
      <c r="AN970" s="5"/>
      <c r="AO970" s="5"/>
      <c r="AP970" s="5"/>
      <c r="AQ970" s="5"/>
      <c r="AR970" s="5"/>
    </row>
    <row r="971" ht="15.75" customHeight="1">
      <c r="A971" s="36"/>
      <c r="B971" s="37"/>
      <c r="C971" s="2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33"/>
      <c r="AL971" s="5"/>
      <c r="AM971" s="5"/>
      <c r="AN971" s="5"/>
      <c r="AO971" s="5"/>
      <c r="AP971" s="5"/>
      <c r="AQ971" s="5"/>
      <c r="AR971" s="5"/>
    </row>
    <row r="972" ht="15.75" customHeight="1">
      <c r="A972" s="36"/>
      <c r="B972" s="37"/>
      <c r="C972" s="2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33"/>
      <c r="AL972" s="5"/>
      <c r="AM972" s="5"/>
      <c r="AN972" s="5"/>
      <c r="AO972" s="5"/>
      <c r="AP972" s="5"/>
      <c r="AQ972" s="5"/>
      <c r="AR972" s="5"/>
    </row>
    <row r="973" ht="15.75" customHeight="1">
      <c r="A973" s="36"/>
      <c r="B973" s="37"/>
      <c r="C973" s="2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33"/>
      <c r="AL973" s="5"/>
      <c r="AM973" s="5"/>
      <c r="AN973" s="5"/>
      <c r="AO973" s="5"/>
      <c r="AP973" s="5"/>
      <c r="AQ973" s="5"/>
      <c r="AR973" s="5"/>
    </row>
    <row r="974" ht="15.75" customHeight="1">
      <c r="A974" s="36"/>
      <c r="B974" s="37"/>
      <c r="C974" s="2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33"/>
      <c r="AL974" s="5"/>
      <c r="AM974" s="5"/>
      <c r="AN974" s="5"/>
      <c r="AO974" s="5"/>
      <c r="AP974" s="5"/>
      <c r="AQ974" s="5"/>
      <c r="AR974" s="5"/>
    </row>
    <row r="975" ht="15.75" customHeight="1">
      <c r="A975" s="36"/>
      <c r="B975" s="37"/>
      <c r="C975" s="2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33"/>
      <c r="AL975" s="5"/>
      <c r="AM975" s="5"/>
      <c r="AN975" s="5"/>
      <c r="AO975" s="5"/>
      <c r="AP975" s="5"/>
      <c r="AQ975" s="5"/>
      <c r="AR975" s="5"/>
    </row>
    <row r="976" ht="15.75" customHeight="1">
      <c r="A976" s="36"/>
      <c r="B976" s="37"/>
      <c r="C976" s="2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33"/>
      <c r="AL976" s="5"/>
      <c r="AM976" s="5"/>
      <c r="AN976" s="5"/>
      <c r="AO976" s="5"/>
      <c r="AP976" s="5"/>
      <c r="AQ976" s="5"/>
      <c r="AR976" s="5"/>
    </row>
    <row r="977" ht="15.75" customHeight="1">
      <c r="A977" s="36"/>
      <c r="B977" s="37"/>
      <c r="C977" s="2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33"/>
      <c r="AL977" s="5"/>
      <c r="AM977" s="5"/>
      <c r="AN977" s="5"/>
      <c r="AO977" s="5"/>
      <c r="AP977" s="5"/>
      <c r="AQ977" s="5"/>
      <c r="AR977" s="5"/>
    </row>
    <row r="978" ht="15.75" customHeight="1">
      <c r="A978" s="36"/>
      <c r="B978" s="37"/>
      <c r="C978" s="2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33"/>
      <c r="AL978" s="5"/>
      <c r="AM978" s="5"/>
      <c r="AN978" s="5"/>
      <c r="AO978" s="5"/>
      <c r="AP978" s="5"/>
      <c r="AQ978" s="5"/>
      <c r="AR978" s="5"/>
    </row>
    <row r="979" ht="15.75" customHeight="1">
      <c r="A979" s="36"/>
      <c r="B979" s="37"/>
      <c r="C979" s="2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33"/>
      <c r="AL979" s="5"/>
      <c r="AM979" s="5"/>
      <c r="AN979" s="5"/>
      <c r="AO979" s="5"/>
      <c r="AP979" s="5"/>
      <c r="AQ979" s="5"/>
      <c r="AR979" s="5"/>
    </row>
    <row r="980" ht="15.75" customHeight="1">
      <c r="A980" s="36"/>
      <c r="B980" s="37"/>
      <c r="C980" s="2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33"/>
      <c r="AL980" s="5"/>
      <c r="AM980" s="5"/>
      <c r="AN980" s="5"/>
      <c r="AO980" s="5"/>
      <c r="AP980" s="5"/>
      <c r="AQ980" s="5"/>
      <c r="AR980" s="5"/>
    </row>
    <row r="981" ht="15.75" customHeight="1">
      <c r="A981" s="36"/>
      <c r="B981" s="37"/>
      <c r="C981" s="2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33"/>
      <c r="AL981" s="5"/>
      <c r="AM981" s="5"/>
      <c r="AN981" s="5"/>
      <c r="AO981" s="5"/>
      <c r="AP981" s="5"/>
      <c r="AQ981" s="5"/>
      <c r="AR981" s="5"/>
    </row>
    <row r="982" ht="15.75" customHeight="1">
      <c r="A982" s="36"/>
      <c r="B982" s="37"/>
      <c r="C982" s="2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33"/>
      <c r="AL982" s="5"/>
      <c r="AM982" s="5"/>
      <c r="AN982" s="5"/>
      <c r="AO982" s="5"/>
      <c r="AP982" s="5"/>
      <c r="AQ982" s="5"/>
      <c r="AR982" s="5"/>
    </row>
    <row r="983" ht="15.75" customHeight="1">
      <c r="A983" s="36"/>
      <c r="B983" s="37"/>
      <c r="C983" s="2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33"/>
      <c r="AL983" s="5"/>
      <c r="AM983" s="5"/>
      <c r="AN983" s="5"/>
      <c r="AO983" s="5"/>
      <c r="AP983" s="5"/>
      <c r="AQ983" s="5"/>
      <c r="AR983" s="5"/>
    </row>
    <row r="984" ht="15.75" customHeight="1">
      <c r="A984" s="36"/>
      <c r="B984" s="37"/>
      <c r="C984" s="2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33"/>
      <c r="AL984" s="5"/>
      <c r="AM984" s="5"/>
      <c r="AN984" s="5"/>
      <c r="AO984" s="5"/>
      <c r="AP984" s="5"/>
      <c r="AQ984" s="5"/>
      <c r="AR984" s="5"/>
    </row>
    <row r="985" ht="15.75" customHeight="1">
      <c r="A985" s="36"/>
      <c r="B985" s="37"/>
      <c r="C985" s="2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33"/>
      <c r="AL985" s="5"/>
      <c r="AM985" s="5"/>
      <c r="AN985" s="5"/>
      <c r="AO985" s="5"/>
      <c r="AP985" s="5"/>
      <c r="AQ985" s="5"/>
      <c r="AR985" s="5"/>
    </row>
    <row r="986" ht="15.75" customHeight="1">
      <c r="A986" s="36"/>
      <c r="B986" s="37"/>
      <c r="C986" s="2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33"/>
      <c r="AL986" s="5"/>
      <c r="AM986" s="5"/>
      <c r="AN986" s="5"/>
      <c r="AO986" s="5"/>
      <c r="AP986" s="5"/>
      <c r="AQ986" s="5"/>
      <c r="AR986" s="5"/>
    </row>
    <row r="987" ht="15.75" customHeight="1">
      <c r="A987" s="36"/>
      <c r="B987" s="37"/>
      <c r="C987" s="2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33"/>
      <c r="AL987" s="5"/>
      <c r="AM987" s="5"/>
      <c r="AN987" s="5"/>
      <c r="AO987" s="5"/>
      <c r="AP987" s="5"/>
      <c r="AQ987" s="5"/>
      <c r="AR987" s="5"/>
    </row>
    <row r="988" ht="15.75" customHeight="1">
      <c r="A988" s="36"/>
      <c r="B988" s="37"/>
      <c r="C988" s="2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33"/>
      <c r="AL988" s="5"/>
      <c r="AM988" s="5"/>
      <c r="AN988" s="5"/>
      <c r="AO988" s="5"/>
      <c r="AP988" s="5"/>
      <c r="AQ988" s="5"/>
      <c r="AR988" s="5"/>
    </row>
    <row r="989" ht="15.75" customHeight="1">
      <c r="A989" s="36"/>
      <c r="B989" s="37"/>
      <c r="C989" s="2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33"/>
      <c r="AL989" s="5"/>
      <c r="AM989" s="5"/>
      <c r="AN989" s="5"/>
      <c r="AO989" s="5"/>
      <c r="AP989" s="5"/>
      <c r="AQ989" s="5"/>
      <c r="AR989" s="5"/>
    </row>
    <row r="990" ht="15.75" customHeight="1">
      <c r="A990" s="36"/>
      <c r="B990" s="37"/>
      <c r="C990" s="2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33"/>
      <c r="AL990" s="5"/>
      <c r="AM990" s="5"/>
      <c r="AN990" s="5"/>
      <c r="AO990" s="5"/>
      <c r="AP990" s="5"/>
      <c r="AQ990" s="5"/>
      <c r="AR990" s="5"/>
    </row>
    <row r="991" ht="15.75" customHeight="1">
      <c r="A991" s="36"/>
      <c r="B991" s="37"/>
      <c r="C991" s="2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33"/>
      <c r="AL991" s="5"/>
      <c r="AM991" s="5"/>
      <c r="AN991" s="5"/>
      <c r="AO991" s="5"/>
      <c r="AP991" s="5"/>
      <c r="AQ991" s="5"/>
      <c r="AR991" s="5"/>
    </row>
    <row r="992" ht="15.75" customHeight="1">
      <c r="A992" s="36"/>
      <c r="B992" s="37"/>
      <c r="C992" s="2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33"/>
      <c r="AL992" s="5"/>
      <c r="AM992" s="5"/>
      <c r="AN992" s="5"/>
      <c r="AO992" s="5"/>
      <c r="AP992" s="5"/>
      <c r="AQ992" s="5"/>
      <c r="AR992" s="5"/>
    </row>
    <row r="993" ht="15.75" customHeight="1">
      <c r="A993" s="36"/>
      <c r="B993" s="37"/>
      <c r="C993" s="2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33"/>
      <c r="AL993" s="5"/>
      <c r="AM993" s="5"/>
      <c r="AN993" s="5"/>
      <c r="AO993" s="5"/>
      <c r="AP993" s="5"/>
      <c r="AQ993" s="5"/>
      <c r="AR993" s="5"/>
    </row>
    <row r="994" ht="15.75" customHeight="1">
      <c r="A994" s="36"/>
      <c r="B994" s="37"/>
      <c r="C994" s="2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33"/>
      <c r="AL994" s="5"/>
      <c r="AM994" s="5"/>
      <c r="AN994" s="5"/>
      <c r="AO994" s="5"/>
      <c r="AP994" s="5"/>
      <c r="AQ994" s="5"/>
      <c r="AR994" s="5"/>
    </row>
    <row r="995" ht="15.75" customHeight="1">
      <c r="A995" s="36"/>
      <c r="B995" s="37"/>
      <c r="C995" s="2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33"/>
      <c r="AL995" s="5"/>
      <c r="AM995" s="5"/>
      <c r="AN995" s="5"/>
      <c r="AO995" s="5"/>
      <c r="AP995" s="5"/>
      <c r="AQ995" s="5"/>
      <c r="AR995" s="5"/>
    </row>
    <row r="996" ht="15.75" customHeight="1">
      <c r="A996" s="36"/>
      <c r="B996" s="37"/>
      <c r="C996" s="2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33"/>
      <c r="AL996" s="5"/>
      <c r="AM996" s="5"/>
      <c r="AN996" s="5"/>
      <c r="AO996" s="5"/>
      <c r="AP996" s="5"/>
      <c r="AQ996" s="5"/>
      <c r="AR996" s="5"/>
    </row>
    <row r="997" ht="15.75" customHeight="1">
      <c r="A997" s="36"/>
      <c r="B997" s="37"/>
      <c r="C997" s="2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33"/>
      <c r="AL997" s="5"/>
      <c r="AM997" s="5"/>
      <c r="AN997" s="5"/>
      <c r="AO997" s="5"/>
      <c r="AP997" s="5"/>
      <c r="AQ997" s="5"/>
      <c r="AR997" s="5"/>
    </row>
    <row r="998" ht="15.75" customHeight="1">
      <c r="A998" s="36"/>
      <c r="B998" s="37"/>
      <c r="C998" s="2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33"/>
      <c r="AL998" s="5"/>
      <c r="AM998" s="5"/>
      <c r="AN998" s="5"/>
      <c r="AO998" s="5"/>
      <c r="AP998" s="5"/>
      <c r="AQ998" s="5"/>
      <c r="AR998" s="5"/>
    </row>
    <row r="999" ht="15.75" customHeight="1">
      <c r="A999" s="36"/>
      <c r="B999" s="37"/>
      <c r="C999" s="2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33"/>
      <c r="AL999" s="5"/>
      <c r="AM999" s="5"/>
      <c r="AN999" s="5"/>
      <c r="AO999" s="5"/>
      <c r="AP999" s="5"/>
      <c r="AQ999" s="5"/>
      <c r="AR999" s="5"/>
    </row>
    <row r="1000" ht="15.75" customHeight="1">
      <c r="A1000" s="36"/>
      <c r="B1000" s="37"/>
      <c r="C1000" s="2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33"/>
      <c r="AL1000" s="5"/>
      <c r="AM1000" s="5"/>
      <c r="AN1000" s="5"/>
      <c r="AO1000" s="5"/>
      <c r="AP1000" s="5"/>
      <c r="AQ1000" s="5"/>
      <c r="AR1000" s="5"/>
    </row>
  </sheetData>
  <autoFilter ref="$A$2:$B$83">
    <filterColumn colId="1">
      <filters>
        <filter val="1-1Q(1-3)"/>
      </filters>
    </filterColumn>
  </autoFilter>
  <printOptions/>
  <pageMargins bottom="0.75" footer="0.0" header="0.0" left="0.7" right="0.7" top="0.75"/>
  <pageSetup orientation="landscape"/>
  <headerFooter>
    <oddHeader>&amp;C 115年第1季(1-3月)產險業自留保費統計表&amp;R 單位:新台幣元</oddHeader>
    <oddFooter>&amp;L中華民國產物保險商業同業公會編製&amp;C--&amp;P&amp;R資料來源係各產物保險公司提供其承保各險種簽單保費收入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1.22" defaultRowHeight="15.0"/>
  <cols>
    <col customWidth="1" min="1" max="1" width="4.89"/>
    <col customWidth="1" min="2" max="2" width="12.89"/>
    <col customWidth="1" min="3" max="3" width="17.22"/>
    <col customWidth="1" min="4" max="4" width="17.56"/>
    <col customWidth="1" min="5" max="5" width="17.44"/>
    <col customWidth="1" min="6" max="6" width="14.89"/>
    <col customWidth="1" min="7" max="7" width="18.78"/>
    <col customWidth="1" min="8" max="8" width="16.89"/>
    <col customWidth="1" min="9" max="12" width="17.56"/>
    <col customWidth="1" min="13" max="13" width="17.44"/>
    <col customWidth="1" min="14" max="14" width="15.89"/>
    <col customWidth="1" min="15" max="15" width="17.44"/>
    <col customWidth="1" min="16" max="16" width="18.78"/>
    <col customWidth="1" min="17" max="18" width="17.44"/>
    <col customWidth="1" min="19" max="19" width="16.78"/>
    <col customWidth="1" min="20" max="21" width="19.22"/>
    <col customWidth="1" min="22" max="22" width="12.89"/>
    <col customWidth="1" min="23" max="23" width="8.89"/>
    <col customWidth="1" min="24" max="26" width="8.0"/>
  </cols>
  <sheetData>
    <row r="1" ht="31.5" customHeight="1">
      <c r="A1" s="40" t="s">
        <v>99</v>
      </c>
      <c r="U1" s="5"/>
      <c r="V1" s="41"/>
      <c r="W1" s="5"/>
      <c r="X1" s="5"/>
      <c r="Y1" s="5"/>
      <c r="Z1" s="5"/>
    </row>
    <row r="2" ht="18.0" customHeight="1">
      <c r="A2" s="42"/>
      <c r="B2" s="4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5"/>
      <c r="U2" s="5"/>
      <c r="V2" s="46" t="s">
        <v>100</v>
      </c>
      <c r="W2" s="5"/>
      <c r="X2" s="5"/>
      <c r="Y2" s="5"/>
      <c r="Z2" s="5"/>
    </row>
    <row r="3" ht="21.75" customHeight="1">
      <c r="A3" s="47"/>
      <c r="B3" s="48"/>
      <c r="C3" s="49"/>
      <c r="D3" s="50"/>
      <c r="E3" s="50"/>
      <c r="F3" s="50"/>
      <c r="G3" s="51" t="s">
        <v>101</v>
      </c>
      <c r="H3" s="52"/>
      <c r="I3" s="52"/>
      <c r="J3" s="52"/>
      <c r="K3" s="53"/>
      <c r="L3" s="51" t="s">
        <v>102</v>
      </c>
      <c r="M3" s="52"/>
      <c r="N3" s="52"/>
      <c r="O3" s="53"/>
      <c r="P3" s="50"/>
      <c r="Q3" s="50"/>
      <c r="R3" s="50"/>
      <c r="S3" s="50"/>
      <c r="T3" s="50"/>
      <c r="U3" s="50"/>
      <c r="V3" s="54" t="s">
        <v>103</v>
      </c>
      <c r="W3" s="55"/>
      <c r="X3" s="55"/>
      <c r="Y3" s="55"/>
      <c r="Z3" s="55"/>
    </row>
    <row r="4" ht="27.0" customHeight="1">
      <c r="A4" s="56" t="s">
        <v>23</v>
      </c>
      <c r="B4" s="57" t="s">
        <v>24</v>
      </c>
      <c r="C4" s="58" t="s">
        <v>104</v>
      </c>
      <c r="D4" s="59" t="s">
        <v>105</v>
      </c>
      <c r="E4" s="59" t="s">
        <v>106</v>
      </c>
      <c r="F4" s="59" t="s">
        <v>107</v>
      </c>
      <c r="G4" s="60" t="s">
        <v>108</v>
      </c>
      <c r="H4" s="60" t="s">
        <v>109</v>
      </c>
      <c r="I4" s="61" t="s">
        <v>110</v>
      </c>
      <c r="J4" s="62"/>
      <c r="K4" s="63"/>
      <c r="L4" s="60" t="s">
        <v>111</v>
      </c>
      <c r="M4" s="60" t="s">
        <v>44</v>
      </c>
      <c r="N4" s="60" t="s">
        <v>112</v>
      </c>
      <c r="O4" s="50" t="s">
        <v>113</v>
      </c>
      <c r="P4" s="59" t="s">
        <v>49</v>
      </c>
      <c r="Q4" s="59" t="s">
        <v>114</v>
      </c>
      <c r="R4" s="59" t="s">
        <v>115</v>
      </c>
      <c r="S4" s="59" t="s">
        <v>58</v>
      </c>
      <c r="T4" s="59" t="s">
        <v>116</v>
      </c>
      <c r="U4" s="59" t="s">
        <v>117</v>
      </c>
      <c r="V4" s="64" t="s">
        <v>118</v>
      </c>
      <c r="W4" s="55"/>
      <c r="X4" s="55"/>
      <c r="Y4" s="55"/>
      <c r="Z4" s="55"/>
    </row>
    <row r="5" ht="21.75" customHeight="1">
      <c r="A5" s="65"/>
      <c r="B5" s="66"/>
      <c r="C5" s="67"/>
      <c r="D5" s="68"/>
      <c r="E5" s="68"/>
      <c r="F5" s="68"/>
      <c r="G5" s="69"/>
      <c r="H5" s="69"/>
      <c r="I5" s="70" t="s">
        <v>119</v>
      </c>
      <c r="J5" s="70" t="s">
        <v>120</v>
      </c>
      <c r="K5" s="70" t="s">
        <v>121</v>
      </c>
      <c r="L5" s="69"/>
      <c r="M5" s="69"/>
      <c r="N5" s="69"/>
      <c r="O5" s="68" t="s">
        <v>122</v>
      </c>
      <c r="P5" s="68"/>
      <c r="Q5" s="68"/>
      <c r="R5" s="68"/>
      <c r="S5" s="68"/>
      <c r="T5" s="68" t="s">
        <v>59</v>
      </c>
      <c r="U5" s="68" t="s">
        <v>59</v>
      </c>
      <c r="V5" s="71" t="s">
        <v>123</v>
      </c>
      <c r="W5" s="55"/>
      <c r="X5" s="55"/>
      <c r="Y5" s="55"/>
      <c r="Z5" s="55"/>
    </row>
    <row r="6" ht="45.0" customHeight="1">
      <c r="A6" s="20" t="s">
        <v>60</v>
      </c>
      <c r="B6" s="72" t="s">
        <v>61</v>
      </c>
      <c r="C6" s="73" t="s">
        <v>62</v>
      </c>
      <c r="D6" s="74">
        <f>SUM('115自留(季)'!D3:G3)</f>
        <v>88915729</v>
      </c>
      <c r="E6" s="74">
        <f>SUM('115自留(季)'!H3:K3)</f>
        <v>38555219</v>
      </c>
      <c r="F6" s="74">
        <f>+'115自留(季)'!L3</f>
        <v>820658</v>
      </c>
      <c r="G6" s="74">
        <f>SUM('115自留(季)'!M3:N3)</f>
        <v>277093445</v>
      </c>
      <c r="H6" s="74">
        <f>SUM('115自留(季)'!O3:P3)</f>
        <v>671762219</v>
      </c>
      <c r="I6" s="74">
        <f>SUM('115自留(季)'!Q3:R3)</f>
        <v>108198044</v>
      </c>
      <c r="J6" s="74">
        <f>+'115自留(季)'!S3</f>
        <v>55237289</v>
      </c>
      <c r="K6" s="74">
        <f>'115自留(季)'!AI3</f>
        <v>1006055</v>
      </c>
      <c r="L6" s="74">
        <f>SUM('115自留(季)'!T3:U3)</f>
        <v>63498697</v>
      </c>
      <c r="M6" s="74">
        <f>+'115自留(季)'!V3</f>
        <v>46911029</v>
      </c>
      <c r="N6" s="74">
        <f>SUM('115自留(季)'!X3:Y3)</f>
        <v>2334390</v>
      </c>
      <c r="O6" s="74">
        <f>+'115自留(季)'!W3+'115自留(季)'!Z3+'115自留(季)'!AC3+'115自留(季)'!AD3</f>
        <v>67707238</v>
      </c>
      <c r="P6" s="74">
        <f>+'115自留(季)'!AA3</f>
        <v>158015657</v>
      </c>
      <c r="Q6" s="74">
        <f>+'115自留(季)'!AB3+'115自留(季)'!AE3+'115自留(季)'!AF3</f>
        <v>60013932</v>
      </c>
      <c r="R6" s="74">
        <f>+'115自留(季)'!AG3+'115自留(季)'!AH3</f>
        <v>36516642</v>
      </c>
      <c r="S6" s="74">
        <f>+'115自留(季)'!AJ3</f>
        <v>57202</v>
      </c>
      <c r="T6" s="74">
        <f t="shared" ref="T6:T24" si="1">SUM(D6:S6)</f>
        <v>1676643445</v>
      </c>
      <c r="U6" s="74">
        <v>1.73970991E9</v>
      </c>
      <c r="V6" s="75">
        <f>IF(U6=0,"",((T6/U6)-1))</f>
        <v>-0.03625113856</v>
      </c>
      <c r="W6" s="76"/>
      <c r="X6" s="77"/>
      <c r="Y6" s="77"/>
      <c r="Z6" s="77"/>
    </row>
    <row r="7" ht="45.0" customHeight="1">
      <c r="A7" s="20" t="s">
        <v>63</v>
      </c>
      <c r="B7" s="72" t="s">
        <v>61</v>
      </c>
      <c r="C7" s="73" t="s">
        <v>64</v>
      </c>
      <c r="D7" s="74">
        <f>SUM('115自留(季)'!D4:G4)</f>
        <v>131468925.6</v>
      </c>
      <c r="E7" s="74">
        <f>SUM('115自留(季)'!H4:K4)</f>
        <v>48062955.47</v>
      </c>
      <c r="F7" s="74">
        <f>+'115自留(季)'!L4</f>
        <v>12509798</v>
      </c>
      <c r="G7" s="74">
        <f>SUM('115自留(季)'!M4:N4)</f>
        <v>423234222.1</v>
      </c>
      <c r="H7" s="74">
        <f>SUM('115自留(季)'!O4:P4)</f>
        <v>367726525.6</v>
      </c>
      <c r="I7" s="74">
        <f>SUM('115自留(季)'!Q4:R4)</f>
        <v>65461562</v>
      </c>
      <c r="J7" s="74">
        <f>+'115自留(季)'!S4</f>
        <v>21690368</v>
      </c>
      <c r="K7" s="74">
        <f>'115自留(季)'!AI4</f>
        <v>392313</v>
      </c>
      <c r="L7" s="74">
        <f>SUM('115自留(季)'!T4:U4)</f>
        <v>126171101.9</v>
      </c>
      <c r="M7" s="74">
        <f>+'115自留(季)'!V4</f>
        <v>120183253</v>
      </c>
      <c r="N7" s="74">
        <f>SUM('115自留(季)'!X4:Y4)</f>
        <v>2939675.76</v>
      </c>
      <c r="O7" s="74">
        <f>+'115自留(季)'!W4+'115自留(季)'!Z4+'115自留(季)'!AC4+'115自留(季)'!AD4</f>
        <v>47292757.15</v>
      </c>
      <c r="P7" s="74">
        <f>+'115自留(季)'!AA4</f>
        <v>98670081.09</v>
      </c>
      <c r="Q7" s="74">
        <f>+'115自留(季)'!AB4+'115自留(季)'!AE4+'115自留(季)'!AF4</f>
        <v>137384928.9</v>
      </c>
      <c r="R7" s="74">
        <f>+'115自留(季)'!AG4+'115自留(季)'!AH4</f>
        <v>23804367</v>
      </c>
      <c r="S7" s="74">
        <f>+'115自留(季)'!AJ4</f>
        <v>43495460</v>
      </c>
      <c r="T7" s="74">
        <f t="shared" si="1"/>
        <v>1670488295</v>
      </c>
      <c r="U7" s="74">
        <v>1.697776843E9</v>
      </c>
      <c r="V7" s="75">
        <f t="shared" ref="V7:V23" si="2">IF(U7=0,"",((T7-U7)/U7))</f>
        <v>-0.01607310676</v>
      </c>
      <c r="W7" s="76"/>
      <c r="X7" s="77"/>
      <c r="Y7" s="77"/>
      <c r="Z7" s="77"/>
    </row>
    <row r="8" ht="45.0" customHeight="1">
      <c r="A8" s="20" t="s">
        <v>65</v>
      </c>
      <c r="B8" s="72" t="s">
        <v>61</v>
      </c>
      <c r="C8" s="73" t="s">
        <v>66</v>
      </c>
      <c r="D8" s="74">
        <f>SUM('115自留(季)'!D5:G5)</f>
        <v>326276765.2</v>
      </c>
      <c r="E8" s="74">
        <f>SUM('115自留(季)'!H5:K5)</f>
        <v>324046189.5</v>
      </c>
      <c r="F8" s="74">
        <f>+'115自留(季)'!L5</f>
        <v>2729734.65</v>
      </c>
      <c r="G8" s="74">
        <f>SUM('115自留(季)'!M5:N5)</f>
        <v>1895573598</v>
      </c>
      <c r="H8" s="74">
        <f>SUM('115自留(季)'!O5:P5)</f>
        <v>3651293857</v>
      </c>
      <c r="I8" s="74">
        <f>SUM('115自留(季)'!Q5:R5)</f>
        <v>539614399</v>
      </c>
      <c r="J8" s="74">
        <f>+'115自留(季)'!S5</f>
        <v>642426561</v>
      </c>
      <c r="K8" s="74">
        <f>'115自留(季)'!AI5</f>
        <v>32675497</v>
      </c>
      <c r="L8" s="74">
        <f>SUM('115自留(季)'!T5:U5)</f>
        <v>1187615402</v>
      </c>
      <c r="M8" s="74">
        <f>+'115自留(季)'!V5</f>
        <v>227475263.8</v>
      </c>
      <c r="N8" s="74">
        <f>SUM('115自留(季)'!X5:Y5)</f>
        <v>17041944.61</v>
      </c>
      <c r="O8" s="74">
        <f>+'115自留(季)'!W5+'115自留(季)'!Z5+'115自留(季)'!AC5+'115自留(季)'!AD5</f>
        <v>729323825.4</v>
      </c>
      <c r="P8" s="74">
        <f>+'115自留(季)'!AA5</f>
        <v>2054719954</v>
      </c>
      <c r="Q8" s="74">
        <f>+'115自留(季)'!AB5+'115自留(季)'!AE5+'115自留(季)'!AF5</f>
        <v>239529315.8</v>
      </c>
      <c r="R8" s="74">
        <f>+'115自留(季)'!AG5+'115自留(季)'!AH5</f>
        <v>827747829</v>
      </c>
      <c r="S8" s="74">
        <f>+'115自留(季)'!AJ5</f>
        <v>89714652.33</v>
      </c>
      <c r="T8" s="74">
        <f t="shared" si="1"/>
        <v>12787804788</v>
      </c>
      <c r="U8" s="74">
        <v>1.238232842817E10</v>
      </c>
      <c r="V8" s="75">
        <f t="shared" si="2"/>
        <v>0.03274637419</v>
      </c>
      <c r="W8" s="76"/>
      <c r="X8" s="77"/>
      <c r="Y8" s="77"/>
      <c r="Z8" s="77"/>
    </row>
    <row r="9" ht="45.0" customHeight="1">
      <c r="A9" s="20" t="s">
        <v>67</v>
      </c>
      <c r="B9" s="72" t="s">
        <v>61</v>
      </c>
      <c r="C9" s="73" t="s">
        <v>68</v>
      </c>
      <c r="D9" s="74">
        <f>SUM('115自留(季)'!D6:G6)</f>
        <v>121913602</v>
      </c>
      <c r="E9" s="74">
        <f>SUM('115自留(季)'!H6:K6)</f>
        <v>56595572</v>
      </c>
      <c r="F9" s="74">
        <f>+'115自留(季)'!L6</f>
        <v>26</v>
      </c>
      <c r="G9" s="74">
        <f>SUM('115自留(季)'!M6:N6)</f>
        <v>1389445652</v>
      </c>
      <c r="H9" s="74">
        <f>SUM('115自留(季)'!O6:P6)</f>
        <v>814930182</v>
      </c>
      <c r="I9" s="74">
        <f>SUM('115自留(季)'!Q6:R6)</f>
        <v>124705135</v>
      </c>
      <c r="J9" s="74">
        <f>+'115自留(季)'!S6</f>
        <v>18370804</v>
      </c>
      <c r="K9" s="74">
        <f>'115自留(季)'!AI6</f>
        <v>375219</v>
      </c>
      <c r="L9" s="74">
        <f>SUM('115自留(季)'!T6:U6)</f>
        <v>137842964</v>
      </c>
      <c r="M9" s="74">
        <f>+'115自留(季)'!V6</f>
        <v>112365322</v>
      </c>
      <c r="N9" s="74">
        <f>SUM('115自留(季)'!X6:Y6)</f>
        <v>1699408</v>
      </c>
      <c r="O9" s="74">
        <f>+'115自留(季)'!W6+'115自留(季)'!Z6+'115自留(季)'!AC6+'115自留(季)'!AD6</f>
        <v>8670420</v>
      </c>
      <c r="P9" s="74">
        <f>+'115自留(季)'!AA6</f>
        <v>181051884</v>
      </c>
      <c r="Q9" s="74">
        <f>+'115自留(季)'!AB6+'115自留(季)'!AE6+'115自留(季)'!AF6</f>
        <v>111954096</v>
      </c>
      <c r="R9" s="74">
        <f>+'115自留(季)'!AG6+'115自留(季)'!AH6</f>
        <v>42425346</v>
      </c>
      <c r="S9" s="74">
        <f>+'115自留(季)'!AJ6</f>
        <v>2173666</v>
      </c>
      <c r="T9" s="74">
        <f t="shared" si="1"/>
        <v>3124519298</v>
      </c>
      <c r="U9" s="74">
        <v>2.981511602E9</v>
      </c>
      <c r="V9" s="75">
        <f t="shared" si="2"/>
        <v>0.04796482962</v>
      </c>
      <c r="W9" s="76"/>
      <c r="X9" s="77"/>
      <c r="Y9" s="77"/>
      <c r="Z9" s="77"/>
    </row>
    <row r="10" ht="45.0" customHeight="1">
      <c r="A10" s="20" t="s">
        <v>69</v>
      </c>
      <c r="B10" s="72" t="s">
        <v>61</v>
      </c>
      <c r="C10" s="73" t="s">
        <v>70</v>
      </c>
      <c r="D10" s="74">
        <f>SUM('115自留(季)'!D7:G7)</f>
        <v>190922921</v>
      </c>
      <c r="E10" s="74">
        <f>SUM('115自留(季)'!H7:K7)</f>
        <v>55286627</v>
      </c>
      <c r="F10" s="74">
        <f>+'115自留(季)'!L7</f>
        <v>0</v>
      </c>
      <c r="G10" s="74">
        <f>SUM('115自留(季)'!M7:N7)</f>
        <v>616800935</v>
      </c>
      <c r="H10" s="74">
        <f>SUM('115自留(季)'!O7:P7)</f>
        <v>713637716</v>
      </c>
      <c r="I10" s="74">
        <f>SUM('115自留(季)'!Q7:R7)</f>
        <v>140264323</v>
      </c>
      <c r="J10" s="74">
        <f>+'115自留(季)'!S7</f>
        <v>64447852</v>
      </c>
      <c r="K10" s="74">
        <f>'115自留(季)'!AI7</f>
        <v>2429172</v>
      </c>
      <c r="L10" s="74">
        <f>SUM('115自留(季)'!T7:U7)</f>
        <v>188800017</v>
      </c>
      <c r="M10" s="74">
        <f>+'115自留(季)'!V7</f>
        <v>121634108</v>
      </c>
      <c r="N10" s="74">
        <f>SUM('115自留(季)'!X7:Y7)</f>
        <v>1281043</v>
      </c>
      <c r="O10" s="74">
        <f>+'115自留(季)'!W7+'115自留(季)'!Z7+'115自留(季)'!AC7+'115自留(季)'!AD7</f>
        <v>60285633</v>
      </c>
      <c r="P10" s="74">
        <f>+'115自留(季)'!AA7</f>
        <v>209063283</v>
      </c>
      <c r="Q10" s="74">
        <f>+'115自留(季)'!AB7+'115自留(季)'!AE7+'115自留(季)'!AF7</f>
        <v>60247983</v>
      </c>
      <c r="R10" s="74">
        <f>+'115自留(季)'!AG7+'115自留(季)'!AH7</f>
        <v>22025709</v>
      </c>
      <c r="S10" s="74">
        <f>+'115自留(季)'!AJ7</f>
        <v>0</v>
      </c>
      <c r="T10" s="74">
        <f t="shared" si="1"/>
        <v>2447127322</v>
      </c>
      <c r="U10" s="74">
        <v>2.336312172E9</v>
      </c>
      <c r="V10" s="75">
        <f t="shared" si="2"/>
        <v>0.04743165375</v>
      </c>
      <c r="W10" s="76"/>
      <c r="X10" s="77"/>
      <c r="Y10" s="77"/>
      <c r="Z10" s="77"/>
    </row>
    <row r="11" ht="45.0" customHeight="1">
      <c r="A11" s="20" t="s">
        <v>71</v>
      </c>
      <c r="B11" s="72" t="s">
        <v>61</v>
      </c>
      <c r="C11" s="73" t="s">
        <v>72</v>
      </c>
      <c r="D11" s="74">
        <f>SUM('115自留(季)'!D8:G8)</f>
        <v>169908798</v>
      </c>
      <c r="E11" s="74">
        <f>SUM('115自留(季)'!H8:K8)</f>
        <v>95026159</v>
      </c>
      <c r="F11" s="74">
        <f>+'115自留(季)'!L8</f>
        <v>-29507</v>
      </c>
      <c r="G11" s="74">
        <f>SUM('115自留(季)'!M8:N8)</f>
        <v>814986077</v>
      </c>
      <c r="H11" s="74">
        <f>SUM('115自留(季)'!O8:P8)</f>
        <v>892901355</v>
      </c>
      <c r="I11" s="74">
        <f>SUM('115自留(季)'!Q8:R8)</f>
        <v>176718652</v>
      </c>
      <c r="J11" s="74">
        <f>+'115自留(季)'!S8</f>
        <v>62881172</v>
      </c>
      <c r="K11" s="74">
        <f>'115自留(季)'!AI8</f>
        <v>3505792</v>
      </c>
      <c r="L11" s="74">
        <f>SUM('115自留(季)'!T8:U8)</f>
        <v>270835764</v>
      </c>
      <c r="M11" s="74">
        <f>+'115自留(季)'!V8</f>
        <v>84204258</v>
      </c>
      <c r="N11" s="74">
        <f>SUM('115自留(季)'!X8:Y8)</f>
        <v>129574</v>
      </c>
      <c r="O11" s="74">
        <f>+'115自留(季)'!W8+'115自留(季)'!Z8+'115自留(季)'!AC8+'115自留(季)'!AD8</f>
        <v>90942727</v>
      </c>
      <c r="P11" s="74">
        <f>+'115自留(季)'!AA8</f>
        <v>161237056</v>
      </c>
      <c r="Q11" s="74">
        <f>+'115自留(季)'!AB8+'115自留(季)'!AE8+'115自留(季)'!AF8</f>
        <v>71664050</v>
      </c>
      <c r="R11" s="74">
        <f>+'115自留(季)'!AG8+'115自留(季)'!AH8</f>
        <v>12634260</v>
      </c>
      <c r="S11" s="74">
        <f>+'115自留(季)'!AJ8</f>
        <v>0</v>
      </c>
      <c r="T11" s="74">
        <f t="shared" si="1"/>
        <v>2907546187</v>
      </c>
      <c r="U11" s="74">
        <v>2.875372542E9</v>
      </c>
      <c r="V11" s="75">
        <f t="shared" si="2"/>
        <v>0.01118938313</v>
      </c>
      <c r="W11" s="76"/>
      <c r="X11" s="77"/>
      <c r="Y11" s="77"/>
      <c r="Z11" s="77"/>
    </row>
    <row r="12" ht="45.0" customHeight="1">
      <c r="A12" s="20" t="s">
        <v>73</v>
      </c>
      <c r="B12" s="72" t="s">
        <v>61</v>
      </c>
      <c r="C12" s="73" t="s">
        <v>74</v>
      </c>
      <c r="D12" s="74">
        <f>SUM('115自留(季)'!D9:G9)</f>
        <v>58616193</v>
      </c>
      <c r="E12" s="74">
        <f>SUM('115自留(季)'!H9:K9)</f>
        <v>27565890</v>
      </c>
      <c r="F12" s="74">
        <f>+'115自留(季)'!L9</f>
        <v>0</v>
      </c>
      <c r="G12" s="74">
        <f>SUM('115自留(季)'!M9:N9)</f>
        <v>517904343</v>
      </c>
      <c r="H12" s="74">
        <f>SUM('115自留(季)'!O9:P9)</f>
        <v>824912133</v>
      </c>
      <c r="I12" s="74">
        <f>SUM('115自留(季)'!Q9:R9)</f>
        <v>100352158</v>
      </c>
      <c r="J12" s="74">
        <f>+'115自留(季)'!S9</f>
        <v>89642245</v>
      </c>
      <c r="K12" s="74">
        <f>'115自留(季)'!AI9</f>
        <v>1234342</v>
      </c>
      <c r="L12" s="74">
        <f>SUM('115自留(季)'!T9:U9)</f>
        <v>213146895</v>
      </c>
      <c r="M12" s="74">
        <f>+'115自留(季)'!V9</f>
        <v>41342401</v>
      </c>
      <c r="N12" s="74">
        <f>SUM('115自留(季)'!X9:Y9)</f>
        <v>2976491</v>
      </c>
      <c r="O12" s="74">
        <f>+'115自留(季)'!W9+'115自留(季)'!Z9+'115自留(季)'!AC9+'115自留(季)'!AD9</f>
        <v>255951847</v>
      </c>
      <c r="P12" s="74">
        <f>+'115自留(季)'!AA9</f>
        <v>214621549</v>
      </c>
      <c r="Q12" s="74">
        <f>+'115自留(季)'!AB9+'115自留(季)'!AE9+'115自留(季)'!AF9</f>
        <v>25788746</v>
      </c>
      <c r="R12" s="74">
        <f>+'115自留(季)'!AG9+'115自留(季)'!AH9</f>
        <v>81882942</v>
      </c>
      <c r="S12" s="74">
        <f>+'115自留(季)'!AJ9</f>
        <v>0</v>
      </c>
      <c r="T12" s="74">
        <f t="shared" si="1"/>
        <v>2455938175</v>
      </c>
      <c r="U12" s="74">
        <v>2.205039907E9</v>
      </c>
      <c r="V12" s="75">
        <f t="shared" si="2"/>
        <v>0.1137840033</v>
      </c>
      <c r="W12" s="76"/>
      <c r="X12" s="77"/>
      <c r="Y12" s="77"/>
      <c r="Z12" s="77"/>
    </row>
    <row r="13" ht="45.0" customHeight="1">
      <c r="A13" s="20" t="s">
        <v>75</v>
      </c>
      <c r="B13" s="72" t="s">
        <v>61</v>
      </c>
      <c r="C13" s="73" t="s">
        <v>76</v>
      </c>
      <c r="D13" s="74">
        <f>SUM('115自留(季)'!D10:G10)</f>
        <v>119295563</v>
      </c>
      <c r="E13" s="74">
        <f>SUM('115自留(季)'!H10:K10)</f>
        <v>87380570</v>
      </c>
      <c r="F13" s="74">
        <f>+'115自留(季)'!L10</f>
        <v>-177532</v>
      </c>
      <c r="G13" s="74">
        <f>SUM('115自留(季)'!M10:N10)</f>
        <v>483875829</v>
      </c>
      <c r="H13" s="74">
        <f>SUM('115自留(季)'!O10:P10)</f>
        <v>547913907</v>
      </c>
      <c r="I13" s="74">
        <f>SUM('115自留(季)'!Q10:R10)</f>
        <v>116277636</v>
      </c>
      <c r="J13" s="74">
        <f>+'115自留(季)'!S10</f>
        <v>39438638</v>
      </c>
      <c r="K13" s="74">
        <f>'115自留(季)'!AI10</f>
        <v>1035158</v>
      </c>
      <c r="L13" s="74">
        <f>SUM('115自留(季)'!T10:U10)</f>
        <v>75365042</v>
      </c>
      <c r="M13" s="74">
        <f>+'115自留(季)'!V10</f>
        <v>31878598</v>
      </c>
      <c r="N13" s="74">
        <f>SUM('115自留(季)'!X10:Y10)</f>
        <v>3105206</v>
      </c>
      <c r="O13" s="74">
        <f>+'115自留(季)'!W10+'115自留(季)'!Z10+'115自留(季)'!AC10+'115自留(季)'!AD10</f>
        <v>38473979</v>
      </c>
      <c r="P13" s="74">
        <f>+'115自留(季)'!AA10</f>
        <v>127062786</v>
      </c>
      <c r="Q13" s="74">
        <f>+'115自留(季)'!AB10+'115自留(季)'!AE10+'115自留(季)'!AF10</f>
        <v>84148278</v>
      </c>
      <c r="R13" s="74">
        <f>+'115自留(季)'!AG10+'115自留(季)'!AH10</f>
        <v>103224112</v>
      </c>
      <c r="S13" s="74">
        <f>+'115自留(季)'!AJ10</f>
        <v>111512</v>
      </c>
      <c r="T13" s="74">
        <f t="shared" si="1"/>
        <v>1858409282</v>
      </c>
      <c r="U13" s="74">
        <v>1.855413291E9</v>
      </c>
      <c r="V13" s="75">
        <f t="shared" si="2"/>
        <v>0.001614729729</v>
      </c>
      <c r="W13" s="76"/>
      <c r="X13" s="77"/>
      <c r="Y13" s="77"/>
      <c r="Z13" s="77"/>
    </row>
    <row r="14" ht="45.0" customHeight="1">
      <c r="A14" s="20" t="s">
        <v>77</v>
      </c>
      <c r="B14" s="72" t="s">
        <v>61</v>
      </c>
      <c r="C14" s="73" t="s">
        <v>78</v>
      </c>
      <c r="D14" s="74">
        <f>SUM('115自留(季)'!D11:G11)</f>
        <v>123438202</v>
      </c>
      <c r="E14" s="74">
        <f>SUM('115自留(季)'!H11:K11)</f>
        <v>33629858</v>
      </c>
      <c r="F14" s="74">
        <f>+'115自留(季)'!L11</f>
        <v>0</v>
      </c>
      <c r="G14" s="74">
        <f>SUM('115自留(季)'!M11:N11)</f>
        <v>804214607</v>
      </c>
      <c r="H14" s="74">
        <f>SUM('115自留(季)'!O11:P11)</f>
        <v>822887632</v>
      </c>
      <c r="I14" s="74">
        <f>SUM('115自留(季)'!Q11:R11)</f>
        <v>169048923</v>
      </c>
      <c r="J14" s="74">
        <f>+'115自留(季)'!S11</f>
        <v>36818720</v>
      </c>
      <c r="K14" s="74">
        <f>'115自留(季)'!AI11</f>
        <v>1468059</v>
      </c>
      <c r="L14" s="74">
        <f>SUM('115自留(季)'!T11:U11)</f>
        <v>195198781</v>
      </c>
      <c r="M14" s="74">
        <f>+'115自留(季)'!V11</f>
        <v>157643072</v>
      </c>
      <c r="N14" s="74">
        <f>SUM('115自留(季)'!X11:Y11)</f>
        <v>8654064</v>
      </c>
      <c r="O14" s="74">
        <f>+'115自留(季)'!W11+'115自留(季)'!Z11+'115自留(季)'!AC11+'115自留(季)'!AD11</f>
        <v>47365813</v>
      </c>
      <c r="P14" s="74">
        <f>+'115自留(季)'!AA11</f>
        <v>328022470</v>
      </c>
      <c r="Q14" s="74">
        <f>+'115自留(季)'!AB11+'115自留(季)'!AE11+'115自留(季)'!AF11</f>
        <v>102871259</v>
      </c>
      <c r="R14" s="74">
        <f>+'115自留(季)'!AG11+'115自留(季)'!AH11</f>
        <v>39799061</v>
      </c>
      <c r="S14" s="74">
        <f>+'115自留(季)'!AJ11</f>
        <v>20257</v>
      </c>
      <c r="T14" s="74">
        <f t="shared" si="1"/>
        <v>2871080778</v>
      </c>
      <c r="U14" s="74">
        <v>2.80514272E9</v>
      </c>
      <c r="V14" s="75">
        <f t="shared" si="2"/>
        <v>0.02350613305</v>
      </c>
      <c r="W14" s="76"/>
      <c r="X14" s="77"/>
      <c r="Y14" s="77"/>
      <c r="Z14" s="77"/>
    </row>
    <row r="15" ht="45.0" customHeight="1">
      <c r="A15" s="20" t="s">
        <v>79</v>
      </c>
      <c r="B15" s="72" t="s">
        <v>61</v>
      </c>
      <c r="C15" s="73" t="s">
        <v>80</v>
      </c>
      <c r="D15" s="74">
        <f>SUM('115自留(季)'!D12:G12)</f>
        <v>323810099</v>
      </c>
      <c r="E15" s="74">
        <f>SUM('115自留(季)'!H12:K12)</f>
        <v>169083404</v>
      </c>
      <c r="F15" s="74">
        <f>+'115自留(季)'!L12</f>
        <v>7547695</v>
      </c>
      <c r="G15" s="74">
        <f>SUM('115自留(季)'!M12:N12)</f>
        <v>1288846293</v>
      </c>
      <c r="H15" s="74">
        <f>SUM('115自留(季)'!O12:P12)</f>
        <v>1371868845</v>
      </c>
      <c r="I15" s="74">
        <f>SUM('115自留(季)'!Q12:R12)</f>
        <v>258715161</v>
      </c>
      <c r="J15" s="74">
        <f>+'115自留(季)'!S12</f>
        <v>134673201</v>
      </c>
      <c r="K15" s="74">
        <f>'115自留(季)'!AI12</f>
        <v>1590086</v>
      </c>
      <c r="L15" s="74">
        <f>SUM('115自留(季)'!T12:U12)</f>
        <v>434417606</v>
      </c>
      <c r="M15" s="74">
        <f>+'115自留(季)'!V12</f>
        <v>498219954</v>
      </c>
      <c r="N15" s="74">
        <f>SUM('115自留(季)'!X12:Y12)</f>
        <v>5518332</v>
      </c>
      <c r="O15" s="74">
        <f>+'115自留(季)'!W12+'115自留(季)'!Z12+'115自留(季)'!AC12+'115自留(季)'!AD12</f>
        <v>224559892</v>
      </c>
      <c r="P15" s="74">
        <f>+'115自留(季)'!AA12</f>
        <v>451134289</v>
      </c>
      <c r="Q15" s="74">
        <f>+'115自留(季)'!AB12+'115自留(季)'!AE12+'115自留(季)'!AF12</f>
        <v>349146872</v>
      </c>
      <c r="R15" s="74">
        <f>+'115自留(季)'!AG12+'115自留(季)'!AH12</f>
        <v>16369030</v>
      </c>
      <c r="S15" s="74">
        <f>+'115自留(季)'!AJ12</f>
        <v>465261</v>
      </c>
      <c r="T15" s="74">
        <f t="shared" si="1"/>
        <v>5535966020</v>
      </c>
      <c r="U15" s="74">
        <v>5.470041239E9</v>
      </c>
      <c r="V15" s="75">
        <f t="shared" si="2"/>
        <v>0.01205197148</v>
      </c>
      <c r="W15" s="76"/>
      <c r="X15" s="77"/>
      <c r="Y15" s="77"/>
      <c r="Z15" s="77"/>
    </row>
    <row r="16" ht="45.0" customHeight="1">
      <c r="A16" s="20" t="s">
        <v>81</v>
      </c>
      <c r="B16" s="72" t="s">
        <v>61</v>
      </c>
      <c r="C16" s="73" t="s">
        <v>82</v>
      </c>
      <c r="D16" s="74">
        <f>SUM('115自留(季)'!D13:G13)</f>
        <v>98461135</v>
      </c>
      <c r="E16" s="74">
        <f>SUM('115自留(季)'!H13:K13)</f>
        <v>37765541</v>
      </c>
      <c r="F16" s="74">
        <f>+'115自留(季)'!L13</f>
        <v>32073</v>
      </c>
      <c r="G16" s="74">
        <f>SUM('115自留(季)'!M13:N13)</f>
        <v>1061864935</v>
      </c>
      <c r="H16" s="74">
        <f>SUM('115自留(季)'!O13:P13)</f>
        <v>853892127</v>
      </c>
      <c r="I16" s="74">
        <f>SUM('115自留(季)'!Q13:R13)</f>
        <v>170621291</v>
      </c>
      <c r="J16" s="74">
        <f>+'115自留(季)'!S13</f>
        <v>50320873</v>
      </c>
      <c r="K16" s="74">
        <f>'115自留(季)'!AI13</f>
        <v>1864083</v>
      </c>
      <c r="L16" s="74">
        <f>SUM('115自留(季)'!T13:U13)</f>
        <v>196355877</v>
      </c>
      <c r="M16" s="74">
        <f>+'115自留(季)'!V13</f>
        <v>80029337</v>
      </c>
      <c r="N16" s="74">
        <f>SUM('115自留(季)'!X13:Y13)</f>
        <v>13387726</v>
      </c>
      <c r="O16" s="74">
        <f>+'115自留(季)'!W13+'115自留(季)'!Z13+'115自留(季)'!AC13+'115自留(季)'!AD13</f>
        <v>53207713</v>
      </c>
      <c r="P16" s="74">
        <f>+'115自留(季)'!AA13</f>
        <v>262905249</v>
      </c>
      <c r="Q16" s="74">
        <f>+'115自留(季)'!AB13+'115自留(季)'!AE13+'115自留(季)'!AF13</f>
        <v>135102296</v>
      </c>
      <c r="R16" s="74">
        <f>+'115自留(季)'!AG13+'115自留(季)'!AH13</f>
        <v>21302506</v>
      </c>
      <c r="S16" s="74">
        <f>+'115自留(季)'!AJ13</f>
        <v>18359010</v>
      </c>
      <c r="T16" s="74">
        <f t="shared" si="1"/>
        <v>3055471772</v>
      </c>
      <c r="U16" s="74">
        <v>2.890247076E9</v>
      </c>
      <c r="V16" s="75">
        <f t="shared" si="2"/>
        <v>0.05716628774</v>
      </c>
      <c r="W16" s="76"/>
      <c r="X16" s="77"/>
      <c r="Y16" s="77"/>
      <c r="Z16" s="77"/>
    </row>
    <row r="17" ht="45.0" customHeight="1">
      <c r="A17" s="20" t="s">
        <v>83</v>
      </c>
      <c r="B17" s="72" t="s">
        <v>61</v>
      </c>
      <c r="C17" s="73" t="s">
        <v>84</v>
      </c>
      <c r="D17" s="74">
        <f>SUM('115自留(季)'!D14:G14)</f>
        <v>188842440</v>
      </c>
      <c r="E17" s="74">
        <f>SUM('115自留(季)'!H14:K14)</f>
        <v>81449515</v>
      </c>
      <c r="F17" s="74">
        <f>+'115自留(季)'!L14</f>
        <v>-589747</v>
      </c>
      <c r="G17" s="74">
        <f>SUM('115自留(季)'!M14:N14)</f>
        <v>1311698378</v>
      </c>
      <c r="H17" s="74">
        <f>SUM('115自留(季)'!O14:P14)</f>
        <v>2620866141</v>
      </c>
      <c r="I17" s="74">
        <f>SUM('115自留(季)'!Q14:R14)</f>
        <v>302449218</v>
      </c>
      <c r="J17" s="74">
        <f>+'115自留(季)'!S14</f>
        <v>322665258</v>
      </c>
      <c r="K17" s="74">
        <f>'115自留(季)'!AI14</f>
        <v>5835731</v>
      </c>
      <c r="L17" s="74">
        <f>SUM('115自留(季)'!T14:U14)</f>
        <v>580144191</v>
      </c>
      <c r="M17" s="74">
        <f>+'115自留(季)'!V14</f>
        <v>80092510</v>
      </c>
      <c r="N17" s="74">
        <f>SUM('115自留(季)'!X14:Y14)</f>
        <v>9440528</v>
      </c>
      <c r="O17" s="74">
        <f>+'115自留(季)'!W14+'115自留(季)'!Z14+'115自留(季)'!AC14+'115自留(季)'!AD14</f>
        <v>369944177</v>
      </c>
      <c r="P17" s="74">
        <f>+'115自留(季)'!AA14</f>
        <v>852645002</v>
      </c>
      <c r="Q17" s="74">
        <f>+'115自留(季)'!AB14+'115自留(季)'!AE14+'115自留(季)'!AF14</f>
        <v>169466875</v>
      </c>
      <c r="R17" s="74">
        <f>+'115自留(季)'!AG14+'115自留(季)'!AH14</f>
        <v>144020039</v>
      </c>
      <c r="S17" s="74">
        <f>+'115自留(季)'!AJ14</f>
        <v>0</v>
      </c>
      <c r="T17" s="74">
        <f t="shared" si="1"/>
        <v>7038970256</v>
      </c>
      <c r="U17" s="74">
        <v>6.750796043E9</v>
      </c>
      <c r="V17" s="75">
        <f t="shared" si="2"/>
        <v>0.04268744177</v>
      </c>
      <c r="W17" s="76"/>
      <c r="X17" s="77"/>
      <c r="Y17" s="77"/>
      <c r="Z17" s="77"/>
    </row>
    <row r="18" ht="45.0" customHeight="1">
      <c r="A18" s="20" t="s">
        <v>85</v>
      </c>
      <c r="B18" s="72" t="s">
        <v>61</v>
      </c>
      <c r="C18" s="73" t="s">
        <v>86</v>
      </c>
      <c r="D18" s="74">
        <f>SUM('115自留(季)'!D15:G15)</f>
        <v>120782714</v>
      </c>
      <c r="E18" s="74">
        <f>SUM('115自留(季)'!H15:K15)</f>
        <v>46127948</v>
      </c>
      <c r="F18" s="74">
        <f>+'115自留(季)'!L15</f>
        <v>0</v>
      </c>
      <c r="G18" s="74">
        <f>SUM('115自留(季)'!M15:N15)</f>
        <v>1376995469</v>
      </c>
      <c r="H18" s="74">
        <f>SUM('115自留(季)'!O15:P15)</f>
        <v>2038142149</v>
      </c>
      <c r="I18" s="74">
        <f>SUM('115自留(季)'!Q15:R15)</f>
        <v>231337560</v>
      </c>
      <c r="J18" s="74">
        <f>+'115自留(季)'!S15</f>
        <v>73101256</v>
      </c>
      <c r="K18" s="74">
        <f>'115自留(季)'!AI15</f>
        <v>1367724</v>
      </c>
      <c r="L18" s="74">
        <f>SUM('115自留(季)'!T15:U15)</f>
        <v>148314706</v>
      </c>
      <c r="M18" s="74">
        <f>+'115自留(季)'!V15</f>
        <v>58095854</v>
      </c>
      <c r="N18" s="74">
        <f>SUM('115自留(季)'!X15:Y15)</f>
        <v>9721727</v>
      </c>
      <c r="O18" s="74">
        <f>+'115自留(季)'!W15+'115自留(季)'!Z15+'115自留(季)'!AC15+'115自留(季)'!AD15</f>
        <v>146745612</v>
      </c>
      <c r="P18" s="74">
        <f>+'115自留(季)'!AA15</f>
        <v>312034568</v>
      </c>
      <c r="Q18" s="74">
        <f>+'115自留(季)'!AB15+'115自留(季)'!AE15+'115自留(季)'!AF15</f>
        <v>99499942</v>
      </c>
      <c r="R18" s="74">
        <f>+'115自留(季)'!AG15+'115自留(季)'!AH15</f>
        <v>20985132</v>
      </c>
      <c r="S18" s="74">
        <f>+'115自留(季)'!AJ15</f>
        <v>224867</v>
      </c>
      <c r="T18" s="74">
        <f t="shared" si="1"/>
        <v>4683477228</v>
      </c>
      <c r="U18" s="74">
        <v>4.606500775E9</v>
      </c>
      <c r="V18" s="75">
        <f t="shared" si="2"/>
        <v>0.01671039619</v>
      </c>
      <c r="W18" s="76"/>
      <c r="X18" s="77"/>
      <c r="Y18" s="77"/>
      <c r="Z18" s="77"/>
    </row>
    <row r="19" ht="45.0" customHeight="1">
      <c r="A19" s="20">
        <v>18.0</v>
      </c>
      <c r="B19" s="72" t="s">
        <v>61</v>
      </c>
      <c r="C19" s="73" t="s">
        <v>87</v>
      </c>
      <c r="D19" s="74">
        <f>SUM('115自留(季)'!D16:G16)</f>
        <v>36719649</v>
      </c>
      <c r="E19" s="74">
        <f>SUM('115自留(季)'!H16:K16)</f>
        <v>1860451</v>
      </c>
      <c r="F19" s="74">
        <f>+'115自留(季)'!L16</f>
        <v>0</v>
      </c>
      <c r="G19" s="74">
        <f>SUM('115自留(季)'!M16:N16)</f>
        <v>130333965</v>
      </c>
      <c r="H19" s="74">
        <f>SUM('115自留(季)'!O16:P16)</f>
        <v>216089263</v>
      </c>
      <c r="I19" s="74">
        <f>SUM('115自留(季)'!Q16:R16)</f>
        <v>35196825</v>
      </c>
      <c r="J19" s="74">
        <f>+'115自留(季)'!S16</f>
        <v>24044229</v>
      </c>
      <c r="K19" s="74">
        <f>'115自留(季)'!AI16</f>
        <v>468785</v>
      </c>
      <c r="L19" s="74">
        <f>SUM('115自留(季)'!T16:U16)</f>
        <v>50084947</v>
      </c>
      <c r="M19" s="74">
        <f>+'115自留(季)'!V16</f>
        <v>34666979</v>
      </c>
      <c r="N19" s="74">
        <f>SUM('115自留(季)'!X16:Y16)</f>
        <v>2625240</v>
      </c>
      <c r="O19" s="74">
        <f>+'115自留(季)'!W16+'115自留(季)'!Z16+'115自留(季)'!AC16+'115自留(季)'!AD16</f>
        <v>66735983</v>
      </c>
      <c r="P19" s="74">
        <f>+'115自留(季)'!AA16</f>
        <v>53214533</v>
      </c>
      <c r="Q19" s="74">
        <f>+'115自留(季)'!AB16+'115自留(季)'!AE16+'115自留(季)'!AF16</f>
        <v>22207149</v>
      </c>
      <c r="R19" s="74">
        <f>+'115自留(季)'!AG16+'115自留(季)'!AH16</f>
        <v>17502424</v>
      </c>
      <c r="S19" s="74">
        <f>+'115自留(季)'!AJ16</f>
        <v>0</v>
      </c>
      <c r="T19" s="74">
        <f t="shared" si="1"/>
        <v>691750422</v>
      </c>
      <c r="U19" s="74">
        <v>6.08829767E8</v>
      </c>
      <c r="V19" s="75">
        <f t="shared" si="2"/>
        <v>0.1361967819</v>
      </c>
      <c r="W19" s="76"/>
      <c r="X19" s="77"/>
      <c r="Y19" s="77"/>
      <c r="Z19" s="77"/>
    </row>
    <row r="20" ht="45.0" customHeight="1">
      <c r="A20" s="20">
        <v>28.0</v>
      </c>
      <c r="B20" s="72" t="s">
        <v>61</v>
      </c>
      <c r="C20" s="73" t="s">
        <v>88</v>
      </c>
      <c r="D20" s="74">
        <f>SUM('115自留(季)'!D17:G17)</f>
        <v>0</v>
      </c>
      <c r="E20" s="74">
        <f>SUM('115自留(季)'!H17:K17)</f>
        <v>0</v>
      </c>
      <c r="F20" s="74">
        <f>+'115自留(季)'!L17</f>
        <v>0</v>
      </c>
      <c r="G20" s="74">
        <f>SUM('115自留(季)'!M17:N17)</f>
        <v>0</v>
      </c>
      <c r="H20" s="74">
        <f>SUM('115自留(季)'!O17:P17)</f>
        <v>0</v>
      </c>
      <c r="I20" s="74">
        <f>SUM('115自留(季)'!Q17:R17)</f>
        <v>0</v>
      </c>
      <c r="J20" s="74">
        <f>+'115自留(季)'!S17</f>
        <v>0</v>
      </c>
      <c r="K20" s="74">
        <f>'115自留(季)'!AI17</f>
        <v>0</v>
      </c>
      <c r="L20" s="74">
        <f>SUM('115自留(季)'!T17:U17)</f>
        <v>0</v>
      </c>
      <c r="M20" s="74">
        <f>+'115自留(季)'!V17</f>
        <v>0</v>
      </c>
      <c r="N20" s="74">
        <f>SUM('115自留(季)'!X17:Y17)</f>
        <v>-45098954</v>
      </c>
      <c r="O20" s="74">
        <f>+'115自留(季)'!W17+'115自留(季)'!Z17+'115自留(季)'!AC17+'115自留(季)'!AD17</f>
        <v>0</v>
      </c>
      <c r="P20" s="74">
        <f>+'115自留(季)'!AA17</f>
        <v>0</v>
      </c>
      <c r="Q20" s="74">
        <f>+'115自留(季)'!AB17+'115自留(季)'!AE17+'115自留(季)'!AF17</f>
        <v>0</v>
      </c>
      <c r="R20" s="74">
        <f>+'115自留(季)'!AG17+'115自留(季)'!AH17</f>
        <v>0</v>
      </c>
      <c r="S20" s="74">
        <f>+'115自留(季)'!AJ17</f>
        <v>0</v>
      </c>
      <c r="T20" s="74">
        <f t="shared" si="1"/>
        <v>-45098954</v>
      </c>
      <c r="U20" s="74">
        <v>-8.2032243E7</v>
      </c>
      <c r="V20" s="75">
        <f t="shared" si="2"/>
        <v>-0.4502289301</v>
      </c>
      <c r="W20" s="76"/>
      <c r="X20" s="77"/>
      <c r="Y20" s="77"/>
      <c r="Z20" s="77"/>
    </row>
    <row r="21" ht="45.0" customHeight="1">
      <c r="A21" s="20">
        <v>29.0</v>
      </c>
      <c r="B21" s="72" t="s">
        <v>61</v>
      </c>
      <c r="C21" s="73" t="s">
        <v>89</v>
      </c>
      <c r="D21" s="74">
        <f>SUM('115自留(季)'!D18:G18)</f>
        <v>8599953</v>
      </c>
      <c r="E21" s="74">
        <f>SUM('115自留(季)'!H18:K18)</f>
        <v>16423573</v>
      </c>
      <c r="F21" s="74">
        <f>+'115自留(季)'!L18</f>
        <v>0</v>
      </c>
      <c r="G21" s="74">
        <f>SUM('115自留(季)'!M18:N18)</f>
        <v>0</v>
      </c>
      <c r="H21" s="74">
        <f>SUM('115自留(季)'!O18:P18)</f>
        <v>0</v>
      </c>
      <c r="I21" s="74">
        <f>SUM('115自留(季)'!Q18:R18)</f>
        <v>0</v>
      </c>
      <c r="J21" s="74">
        <f>+'115自留(季)'!S18</f>
        <v>0</v>
      </c>
      <c r="K21" s="74">
        <f>'115自留(季)'!AI18</f>
        <v>0</v>
      </c>
      <c r="L21" s="74">
        <f>SUM('115自留(季)'!T18:U18)</f>
        <v>33080704</v>
      </c>
      <c r="M21" s="74">
        <f>+'115自留(季)'!V18</f>
        <v>980889</v>
      </c>
      <c r="N21" s="74">
        <f>SUM('115自留(季)'!X18:Y18)</f>
        <v>8407479</v>
      </c>
      <c r="O21" s="74">
        <f>+'115自留(季)'!W18+'115自留(季)'!Z18+'115自留(季)'!AC18+'115自留(季)'!AD18</f>
        <v>35228327</v>
      </c>
      <c r="P21" s="74">
        <f>+'115自留(季)'!AA18</f>
        <v>0</v>
      </c>
      <c r="Q21" s="74">
        <f>+'115自留(季)'!AB18+'115自留(季)'!AE18+'115自留(季)'!AF18</f>
        <v>12384014</v>
      </c>
      <c r="R21" s="74">
        <f>+'115自留(季)'!AG18+'115自留(季)'!AH18</f>
        <v>0</v>
      </c>
      <c r="S21" s="74">
        <f>+'115自留(季)'!AJ18</f>
        <v>2637448</v>
      </c>
      <c r="T21" s="74">
        <f t="shared" si="1"/>
        <v>117742387</v>
      </c>
      <c r="U21" s="74">
        <v>1.46913958E8</v>
      </c>
      <c r="V21" s="75">
        <f t="shared" si="2"/>
        <v>-0.1985622836</v>
      </c>
      <c r="W21" s="76"/>
      <c r="X21" s="77"/>
      <c r="Y21" s="77"/>
      <c r="Z21" s="77"/>
    </row>
    <row r="22" ht="45.0" customHeight="1">
      <c r="A22" s="20" t="s">
        <v>90</v>
      </c>
      <c r="B22" s="72" t="s">
        <v>61</v>
      </c>
      <c r="C22" s="73" t="s">
        <v>91</v>
      </c>
      <c r="D22" s="74">
        <f>SUM('115自留(季)'!D19:G19)</f>
        <v>13942715</v>
      </c>
      <c r="E22" s="74">
        <f>SUM('115自留(季)'!H19:K19)</f>
        <v>18376764</v>
      </c>
      <c r="F22" s="74">
        <f>+'115自留(季)'!L19</f>
        <v>0</v>
      </c>
      <c r="G22" s="74">
        <f>SUM('115自留(季)'!M19:N19)</f>
        <v>0</v>
      </c>
      <c r="H22" s="74">
        <f>SUM('115自留(季)'!O19:P19)</f>
        <v>0</v>
      </c>
      <c r="I22" s="74">
        <f>SUM('115自留(季)'!Q19:R19)</f>
        <v>1336529</v>
      </c>
      <c r="J22" s="74">
        <f>+'115自留(季)'!S19</f>
        <v>900804</v>
      </c>
      <c r="K22" s="74">
        <f>'115自留(季)'!AI19</f>
        <v>24314</v>
      </c>
      <c r="L22" s="74">
        <f>SUM('115自留(季)'!T19:U19)</f>
        <v>259518988</v>
      </c>
      <c r="M22" s="74">
        <f>+'115自留(季)'!V19</f>
        <v>55517506</v>
      </c>
      <c r="N22" s="74">
        <f>SUM('115自留(季)'!X19:Y19)</f>
        <v>5777</v>
      </c>
      <c r="O22" s="74">
        <f>+'115自留(季)'!W19+'115自留(季)'!Z19+'115自留(季)'!AC19+'115自留(季)'!AD19</f>
        <v>640506203</v>
      </c>
      <c r="P22" s="74">
        <f>+'115自留(季)'!AA19</f>
        <v>58161774</v>
      </c>
      <c r="Q22" s="74">
        <f>+'115自留(季)'!AB19+'115自留(季)'!AE19+'115自留(季)'!AF19</f>
        <v>33062412</v>
      </c>
      <c r="R22" s="74">
        <f>+'115自留(季)'!AG19+'115自留(季)'!AH19</f>
        <v>39785230</v>
      </c>
      <c r="S22" s="74">
        <f>+'115自留(季)'!AJ19</f>
        <v>25007940</v>
      </c>
      <c r="T22" s="74">
        <f t="shared" si="1"/>
        <v>1146146956</v>
      </c>
      <c r="U22" s="74">
        <v>1.195539507E9</v>
      </c>
      <c r="V22" s="75">
        <f t="shared" si="2"/>
        <v>-0.04131402661</v>
      </c>
      <c r="W22" s="76"/>
      <c r="X22" s="77"/>
      <c r="Y22" s="77"/>
      <c r="Z22" s="77"/>
    </row>
    <row r="23" ht="45.0" customHeight="1">
      <c r="A23" s="20" t="s">
        <v>96</v>
      </c>
      <c r="B23" s="72" t="s">
        <v>61</v>
      </c>
      <c r="C23" s="73" t="s">
        <v>92</v>
      </c>
      <c r="D23" s="74">
        <f>SUM('115自留(季)'!D20:G20)</f>
        <v>3298147</v>
      </c>
      <c r="E23" s="74">
        <f>SUM('115自留(季)'!H20:K20)</f>
        <v>0</v>
      </c>
      <c r="F23" s="74">
        <f>+'115自留(季)'!L20</f>
        <v>0</v>
      </c>
      <c r="G23" s="74">
        <f>SUM('115自留(季)'!M20:N20)</f>
        <v>0</v>
      </c>
      <c r="H23" s="74">
        <f>SUM('115自留(季)'!O20:P20)</f>
        <v>0</v>
      </c>
      <c r="I23" s="74">
        <f>SUM('115自留(季)'!Q20:R20)</f>
        <v>0</v>
      </c>
      <c r="J23" s="74">
        <f>+'115自留(季)'!S20</f>
        <v>0</v>
      </c>
      <c r="K23" s="74">
        <f>'115自留(季)'!AI20</f>
        <v>0</v>
      </c>
      <c r="L23" s="74">
        <f>SUM('115自留(季)'!T20:U20)</f>
        <v>0</v>
      </c>
      <c r="M23" s="74">
        <f>+'115自留(季)'!V20</f>
        <v>0</v>
      </c>
      <c r="N23" s="74">
        <f>SUM('115自留(季)'!X20:Y20)</f>
        <v>0</v>
      </c>
      <c r="O23" s="74">
        <f>+'115自留(季)'!W20+'115自留(季)'!Z20+'115自留(季)'!AC20+'115自留(季)'!AD20</f>
        <v>0</v>
      </c>
      <c r="P23" s="74">
        <f>+'115自留(季)'!AA20</f>
        <v>16588832</v>
      </c>
      <c r="Q23" s="74">
        <f>+'115自留(季)'!AB20+'115自留(季)'!AE20+'115自留(季)'!AF20</f>
        <v>1912223</v>
      </c>
      <c r="R23" s="74">
        <f>+'115自留(季)'!AG20+'115自留(季)'!AH20</f>
        <v>5500350</v>
      </c>
      <c r="S23" s="74">
        <f>+'115自留(季)'!AJ20</f>
        <v>0</v>
      </c>
      <c r="T23" s="74">
        <f t="shared" si="1"/>
        <v>27299552</v>
      </c>
      <c r="U23" s="74">
        <v>2.9849084E7</v>
      </c>
      <c r="V23" s="75">
        <f t="shared" si="2"/>
        <v>-0.08541407837</v>
      </c>
      <c r="W23" s="76"/>
      <c r="X23" s="77"/>
      <c r="Y23" s="77"/>
      <c r="Z23" s="77"/>
    </row>
    <row r="24" ht="45.0" customHeight="1">
      <c r="A24" s="20">
        <v>47.0</v>
      </c>
      <c r="B24" s="72" t="s">
        <v>61</v>
      </c>
      <c r="C24" s="73" t="s">
        <v>93</v>
      </c>
      <c r="D24" s="74">
        <f>SUM('115自留(季)'!D21:G21)</f>
        <v>0</v>
      </c>
      <c r="E24" s="74">
        <f>SUM('115自留(季)'!H21:K21)</f>
        <v>0</v>
      </c>
      <c r="F24" s="74">
        <f>+'115自留(季)'!L21</f>
        <v>0</v>
      </c>
      <c r="G24" s="74">
        <f>SUM('115自留(季)'!M21:N21)</f>
        <v>0</v>
      </c>
      <c r="H24" s="74">
        <f>SUM('115自留(季)'!O21:P21)</f>
        <v>0</v>
      </c>
      <c r="I24" s="74">
        <f>SUM('115自留(季)'!Q21:R21)</f>
        <v>0</v>
      </c>
      <c r="J24" s="74">
        <f>+'115自留(季)'!S21</f>
        <v>0</v>
      </c>
      <c r="K24" s="74">
        <f>'115自留(季)'!AI21</f>
        <v>0</v>
      </c>
      <c r="L24" s="74">
        <f>SUM('115自留(季)'!T21:U21)</f>
        <v>0</v>
      </c>
      <c r="M24" s="74">
        <f>+'115自留(季)'!V21</f>
        <v>0</v>
      </c>
      <c r="N24" s="74">
        <f>SUM('115自留(季)'!X21:Y21)</f>
        <v>7553939</v>
      </c>
      <c r="O24" s="74">
        <f>+'115自留(季)'!W21+'115自留(季)'!Z21+'115自留(季)'!AC21+'115自留(季)'!AD21</f>
        <v>0</v>
      </c>
      <c r="P24" s="74">
        <f>+'115自留(季)'!AA21</f>
        <v>0</v>
      </c>
      <c r="Q24" s="74">
        <f>+'115自留(季)'!AB21+'115自留(季)'!AE21+'115自留(季)'!AF21</f>
        <v>0</v>
      </c>
      <c r="R24" s="74">
        <f>+'115自留(季)'!AG21+'115自留(季)'!AH21</f>
        <v>0</v>
      </c>
      <c r="S24" s="74">
        <f>+'115自留(季)'!AJ21</f>
        <v>0</v>
      </c>
      <c r="T24" s="74">
        <f t="shared" si="1"/>
        <v>7553939</v>
      </c>
      <c r="U24" s="74">
        <v>-870044.0</v>
      </c>
      <c r="V24" s="75">
        <f>IF(U24=0,"",((T24-U24)/-U24))</f>
        <v>9.682249403</v>
      </c>
      <c r="W24" s="76"/>
      <c r="X24" s="77"/>
      <c r="Y24" s="77"/>
      <c r="Z24" s="77"/>
    </row>
    <row r="25" ht="45.0" customHeight="1">
      <c r="A25" s="20"/>
      <c r="B25" s="72" t="s">
        <v>61</v>
      </c>
      <c r="C25" s="73" t="s">
        <v>94</v>
      </c>
      <c r="D25" s="74">
        <f t="shared" ref="D25:U25" si="3">SUBTOTAL(9,D6:D24)</f>
        <v>2125213551</v>
      </c>
      <c r="E25" s="74">
        <f t="shared" si="3"/>
        <v>1137236236</v>
      </c>
      <c r="F25" s="74">
        <f t="shared" si="3"/>
        <v>22843198.65</v>
      </c>
      <c r="G25" s="74">
        <f t="shared" si="3"/>
        <v>12392867748</v>
      </c>
      <c r="H25" s="74">
        <f t="shared" si="3"/>
        <v>16408824052</v>
      </c>
      <c r="I25" s="74">
        <f t="shared" si="3"/>
        <v>2540297416</v>
      </c>
      <c r="J25" s="74">
        <f t="shared" si="3"/>
        <v>1636659270</v>
      </c>
      <c r="K25" s="74">
        <f t="shared" si="3"/>
        <v>55272330</v>
      </c>
      <c r="L25" s="74">
        <f t="shared" si="3"/>
        <v>4160391683</v>
      </c>
      <c r="M25" s="74">
        <f t="shared" si="3"/>
        <v>1751240334</v>
      </c>
      <c r="N25" s="74">
        <f t="shared" si="3"/>
        <v>51723590.37</v>
      </c>
      <c r="O25" s="74">
        <f t="shared" si="3"/>
        <v>2882942147</v>
      </c>
      <c r="P25" s="74">
        <f t="shared" si="3"/>
        <v>5539148967</v>
      </c>
      <c r="Q25" s="74">
        <f t="shared" si="3"/>
        <v>1716384372</v>
      </c>
      <c r="R25" s="74">
        <f t="shared" si="3"/>
        <v>1455524979</v>
      </c>
      <c r="S25" s="74">
        <f t="shared" si="3"/>
        <v>182267275.3</v>
      </c>
      <c r="T25" s="74">
        <f t="shared" si="3"/>
        <v>54058837148</v>
      </c>
      <c r="U25" s="74">
        <f t="shared" si="3"/>
        <v>52494422577</v>
      </c>
      <c r="V25" s="75">
        <f>IF(U25=0,"",((T25-U25)/U25))</f>
        <v>0.02980153879</v>
      </c>
      <c r="W25" s="76"/>
      <c r="X25" s="77"/>
      <c r="Y25" s="77"/>
      <c r="Z25" s="77"/>
    </row>
    <row r="26" ht="49.5" hidden="1" customHeight="1">
      <c r="A26" s="78" t="s">
        <v>60</v>
      </c>
      <c r="B26" s="79" t="s">
        <v>95</v>
      </c>
      <c r="C26" s="80" t="s">
        <v>62</v>
      </c>
      <c r="D26" s="74">
        <f>SUM('115自留(季)'!D23:G23)</f>
        <v>0</v>
      </c>
      <c r="E26" s="74">
        <f>SUM('115自留(季)'!H23:K23)</f>
        <v>0</v>
      </c>
      <c r="F26" s="74" t="str">
        <f>+'115自留(季)'!L23</f>
        <v/>
      </c>
      <c r="G26" s="74">
        <f>SUM('115自留(季)'!M23:N23)</f>
        <v>0</v>
      </c>
      <c r="H26" s="74">
        <f>SUM('115自留(季)'!O23:P23)</f>
        <v>0</v>
      </c>
      <c r="I26" s="74">
        <f>SUM('115自留(季)'!Q23:R23)</f>
        <v>0</v>
      </c>
      <c r="J26" s="74" t="str">
        <f>+'115自留(季)'!S23</f>
        <v/>
      </c>
      <c r="K26" s="74" t="str">
        <f>'115自留(季)'!AI23</f>
        <v/>
      </c>
      <c r="L26" s="74">
        <f>SUM('115自留(季)'!T23:U23)</f>
        <v>0</v>
      </c>
      <c r="M26" s="74" t="str">
        <f>+'115自留(季)'!V23</f>
        <v/>
      </c>
      <c r="N26" s="74">
        <f>SUM('115自留(季)'!X23:Y23)</f>
        <v>0</v>
      </c>
      <c r="O26" s="74">
        <f>+'115自留(季)'!W23+'115自留(季)'!Z23+'115自留(季)'!AC23+'115自留(季)'!AD23</f>
        <v>0</v>
      </c>
      <c r="P26" s="74" t="str">
        <f>+'115自留(季)'!AA23</f>
        <v/>
      </c>
      <c r="Q26" s="74">
        <f>+'115自留(季)'!AB23+'115自留(季)'!AE23+'115自留(季)'!AF23</f>
        <v>0</v>
      </c>
      <c r="R26" s="74">
        <f>+'115自留(季)'!AG23+'115自留(季)'!AH23</f>
        <v>0</v>
      </c>
      <c r="S26" s="74" t="str">
        <f>+'115自留(季)'!AJ23</f>
        <v/>
      </c>
      <c r="T26" s="74">
        <f t="shared" ref="T26:T44" si="4">SUM(D26:S26)</f>
        <v>0</v>
      </c>
      <c r="U26" s="81">
        <v>3.427472506E9</v>
      </c>
      <c r="V26" s="75">
        <f t="shared" ref="V26:V85" si="5">IF(U26=0,"",((T26/U26)-1))</f>
        <v>-1</v>
      </c>
      <c r="W26" s="82"/>
      <c r="X26" s="82"/>
      <c r="Y26" s="82"/>
      <c r="Z26" s="82"/>
    </row>
    <row r="27" ht="49.5" hidden="1" customHeight="1">
      <c r="A27" s="78" t="s">
        <v>63</v>
      </c>
      <c r="B27" s="79" t="s">
        <v>95</v>
      </c>
      <c r="C27" s="80" t="s">
        <v>64</v>
      </c>
      <c r="D27" s="74">
        <f>SUM('115自留(季)'!D24:G24)</f>
        <v>0</v>
      </c>
      <c r="E27" s="74">
        <f>SUM('115自留(季)'!H24:K24)</f>
        <v>0</v>
      </c>
      <c r="F27" s="74" t="str">
        <f>+'115自留(季)'!L24</f>
        <v/>
      </c>
      <c r="G27" s="74">
        <f>SUM('115自留(季)'!M24:N24)</f>
        <v>0</v>
      </c>
      <c r="H27" s="74">
        <f>SUM('115自留(季)'!O24:P24)</f>
        <v>0</v>
      </c>
      <c r="I27" s="74">
        <f>SUM('115自留(季)'!Q24:R24)</f>
        <v>0</v>
      </c>
      <c r="J27" s="74" t="str">
        <f>+'115自留(季)'!S24</f>
        <v/>
      </c>
      <c r="K27" s="74" t="str">
        <f>'115自留(季)'!AI24</f>
        <v/>
      </c>
      <c r="L27" s="74">
        <f>SUM('115自留(季)'!T24:U24)</f>
        <v>0</v>
      </c>
      <c r="M27" s="74" t="str">
        <f>+'115自留(季)'!V24</f>
        <v/>
      </c>
      <c r="N27" s="74">
        <f>SUM('115自留(季)'!X24:Y24)</f>
        <v>0</v>
      </c>
      <c r="O27" s="74">
        <f>+'115自留(季)'!W24+'115自留(季)'!Z24+'115自留(季)'!AC24+'115自留(季)'!AD24</f>
        <v>0</v>
      </c>
      <c r="P27" s="74" t="str">
        <f>+'115自留(季)'!AA24</f>
        <v/>
      </c>
      <c r="Q27" s="74">
        <f>+'115自留(季)'!AB24+'115自留(季)'!AE24+'115自留(季)'!AF24</f>
        <v>0</v>
      </c>
      <c r="R27" s="74">
        <f>+'115自留(季)'!AG24+'115自留(季)'!AH24</f>
        <v>0</v>
      </c>
      <c r="S27" s="74" t="str">
        <f>+'115自留(季)'!AJ24</f>
        <v/>
      </c>
      <c r="T27" s="74">
        <f t="shared" si="4"/>
        <v>0</v>
      </c>
      <c r="U27" s="81">
        <v>3.247229446E9</v>
      </c>
      <c r="V27" s="75">
        <f t="shared" si="5"/>
        <v>-1</v>
      </c>
      <c r="W27" s="82"/>
      <c r="X27" s="82"/>
      <c r="Y27" s="82"/>
      <c r="Z27" s="82"/>
    </row>
    <row r="28" ht="49.5" hidden="1" customHeight="1">
      <c r="A28" s="78" t="s">
        <v>65</v>
      </c>
      <c r="B28" s="79" t="s">
        <v>95</v>
      </c>
      <c r="C28" s="80" t="s">
        <v>66</v>
      </c>
      <c r="D28" s="74">
        <f>SUM('115自留(季)'!D25:G25)</f>
        <v>0</v>
      </c>
      <c r="E28" s="74">
        <f>SUM('115自留(季)'!H25:K25)</f>
        <v>0</v>
      </c>
      <c r="F28" s="74" t="str">
        <f>+'115自留(季)'!L25</f>
        <v/>
      </c>
      <c r="G28" s="74">
        <f>SUM('115自留(季)'!M25:N25)</f>
        <v>0</v>
      </c>
      <c r="H28" s="74">
        <f>SUM('115自留(季)'!O25:P25)</f>
        <v>0</v>
      </c>
      <c r="I28" s="74">
        <f>SUM('115自留(季)'!Q25:R25)</f>
        <v>0</v>
      </c>
      <c r="J28" s="74" t="str">
        <f>+'115自留(季)'!S25</f>
        <v/>
      </c>
      <c r="K28" s="74" t="str">
        <f>'115自留(季)'!AI25</f>
        <v/>
      </c>
      <c r="L28" s="74">
        <f>SUM('115自留(季)'!T25:U25)</f>
        <v>0</v>
      </c>
      <c r="M28" s="74" t="str">
        <f>+'115自留(季)'!V25</f>
        <v/>
      </c>
      <c r="N28" s="74">
        <f>SUM('115自留(季)'!X25:Y25)</f>
        <v>0</v>
      </c>
      <c r="O28" s="74">
        <f>+'115自留(季)'!W25+'115自留(季)'!Z25+'115自留(季)'!AC25+'115自留(季)'!AD25</f>
        <v>0</v>
      </c>
      <c r="P28" s="74" t="str">
        <f>+'115自留(季)'!AA25</f>
        <v/>
      </c>
      <c r="Q28" s="74">
        <f>+'115自留(季)'!AB25+'115自留(季)'!AE25+'115自留(季)'!AF25</f>
        <v>0</v>
      </c>
      <c r="R28" s="74">
        <f>+'115自留(季)'!AG25+'115自留(季)'!AH25</f>
        <v>0</v>
      </c>
      <c r="S28" s="74" t="str">
        <f>+'115自留(季)'!AJ25</f>
        <v/>
      </c>
      <c r="T28" s="74">
        <f t="shared" si="4"/>
        <v>0</v>
      </c>
      <c r="U28" s="81">
        <v>2.418940688197E10</v>
      </c>
      <c r="V28" s="75">
        <f t="shared" si="5"/>
        <v>-1</v>
      </c>
      <c r="W28" s="82"/>
      <c r="X28" s="82"/>
      <c r="Y28" s="82"/>
      <c r="Z28" s="82"/>
    </row>
    <row r="29" ht="49.5" hidden="1" customHeight="1">
      <c r="A29" s="78" t="s">
        <v>67</v>
      </c>
      <c r="B29" s="79" t="s">
        <v>95</v>
      </c>
      <c r="C29" s="80" t="s">
        <v>68</v>
      </c>
      <c r="D29" s="74">
        <f>SUM('115自留(季)'!D26:G26)</f>
        <v>0</v>
      </c>
      <c r="E29" s="74">
        <f>SUM('115自留(季)'!H26:K26)</f>
        <v>0</v>
      </c>
      <c r="F29" s="74" t="str">
        <f>+'115自留(季)'!L26</f>
        <v/>
      </c>
      <c r="G29" s="74">
        <f>SUM('115自留(季)'!M26:N26)</f>
        <v>0</v>
      </c>
      <c r="H29" s="74">
        <f>SUM('115自留(季)'!O26:P26)</f>
        <v>0</v>
      </c>
      <c r="I29" s="74">
        <f>SUM('115自留(季)'!Q26:R26)</f>
        <v>0</v>
      </c>
      <c r="J29" s="74" t="str">
        <f>+'115自留(季)'!S26</f>
        <v/>
      </c>
      <c r="K29" s="74" t="str">
        <f>'115自留(季)'!AI26</f>
        <v/>
      </c>
      <c r="L29" s="74">
        <f>SUM('115自留(季)'!T26:U26)</f>
        <v>0</v>
      </c>
      <c r="M29" s="74" t="str">
        <f>+'115自留(季)'!V26</f>
        <v/>
      </c>
      <c r="N29" s="74">
        <f>SUM('115自留(季)'!X26:Y26)</f>
        <v>0</v>
      </c>
      <c r="O29" s="74">
        <f>+'115自留(季)'!W26+'115自留(季)'!Z26+'115自留(季)'!AC26+'115自留(季)'!AD26</f>
        <v>0</v>
      </c>
      <c r="P29" s="74" t="str">
        <f>+'115自留(季)'!AA26</f>
        <v/>
      </c>
      <c r="Q29" s="74">
        <f>+'115自留(季)'!AB26+'115自留(季)'!AE26+'115自留(季)'!AF26</f>
        <v>0</v>
      </c>
      <c r="R29" s="74">
        <f>+'115自留(季)'!AG26+'115自留(季)'!AH26</f>
        <v>0</v>
      </c>
      <c r="S29" s="74" t="str">
        <f>+'115自留(季)'!AJ26</f>
        <v/>
      </c>
      <c r="T29" s="74">
        <f t="shared" si="4"/>
        <v>0</v>
      </c>
      <c r="U29" s="81">
        <v>5.723779472E9</v>
      </c>
      <c r="V29" s="75">
        <f t="shared" si="5"/>
        <v>-1</v>
      </c>
      <c r="W29" s="82"/>
      <c r="X29" s="82"/>
      <c r="Y29" s="82"/>
      <c r="Z29" s="82"/>
    </row>
    <row r="30" ht="49.5" hidden="1" customHeight="1">
      <c r="A30" s="78" t="s">
        <v>69</v>
      </c>
      <c r="B30" s="79" t="s">
        <v>95</v>
      </c>
      <c r="C30" s="80" t="s">
        <v>70</v>
      </c>
      <c r="D30" s="74">
        <f>SUM('115自留(季)'!D27:G27)</f>
        <v>0</v>
      </c>
      <c r="E30" s="74">
        <f>SUM('115自留(季)'!H27:K27)</f>
        <v>0</v>
      </c>
      <c r="F30" s="74" t="str">
        <f>+'115自留(季)'!L27</f>
        <v/>
      </c>
      <c r="G30" s="74">
        <f>SUM('115自留(季)'!M27:N27)</f>
        <v>0</v>
      </c>
      <c r="H30" s="74">
        <f>SUM('115自留(季)'!O27:P27)</f>
        <v>0</v>
      </c>
      <c r="I30" s="74">
        <f>SUM('115自留(季)'!Q27:R27)</f>
        <v>0</v>
      </c>
      <c r="J30" s="74" t="str">
        <f>+'115自留(季)'!S27</f>
        <v/>
      </c>
      <c r="K30" s="74" t="str">
        <f>'115自留(季)'!AI27</f>
        <v/>
      </c>
      <c r="L30" s="74">
        <f>SUM('115自留(季)'!T27:U27)</f>
        <v>0</v>
      </c>
      <c r="M30" s="74" t="str">
        <f>+'115自留(季)'!V27</f>
        <v/>
      </c>
      <c r="N30" s="74">
        <f>SUM('115自留(季)'!X27:Y27)</f>
        <v>0</v>
      </c>
      <c r="O30" s="74">
        <f>+'115自留(季)'!W27+'115自留(季)'!Z27+'115自留(季)'!AC27+'115自留(季)'!AD27</f>
        <v>0</v>
      </c>
      <c r="P30" s="74" t="str">
        <f>+'115自留(季)'!AA27</f>
        <v/>
      </c>
      <c r="Q30" s="74">
        <f>+'115自留(季)'!AB27+'115自留(季)'!AE27+'115自留(季)'!AF27</f>
        <v>0</v>
      </c>
      <c r="R30" s="74">
        <f>+'115自留(季)'!AG27+'115自留(季)'!AH27</f>
        <v>0</v>
      </c>
      <c r="S30" s="74" t="str">
        <f>+'115自留(季)'!AJ27</f>
        <v/>
      </c>
      <c r="T30" s="74">
        <f t="shared" si="4"/>
        <v>0</v>
      </c>
      <c r="U30" s="81">
        <v>4.825255742E9</v>
      </c>
      <c r="V30" s="75">
        <f t="shared" si="5"/>
        <v>-1</v>
      </c>
      <c r="W30" s="82"/>
      <c r="X30" s="82"/>
      <c r="Y30" s="82"/>
      <c r="Z30" s="82"/>
    </row>
    <row r="31" ht="49.5" hidden="1" customHeight="1">
      <c r="A31" s="78" t="s">
        <v>71</v>
      </c>
      <c r="B31" s="79" t="s">
        <v>95</v>
      </c>
      <c r="C31" s="80" t="s">
        <v>72</v>
      </c>
      <c r="D31" s="74">
        <f>SUM('115自留(季)'!D28:G28)</f>
        <v>0</v>
      </c>
      <c r="E31" s="74">
        <f>SUM('115自留(季)'!H28:K28)</f>
        <v>0</v>
      </c>
      <c r="F31" s="74" t="str">
        <f>+'115自留(季)'!L28</f>
        <v/>
      </c>
      <c r="G31" s="74">
        <f>SUM('115自留(季)'!M28:N28)</f>
        <v>0</v>
      </c>
      <c r="H31" s="74">
        <f>SUM('115自留(季)'!O28:P28)</f>
        <v>0</v>
      </c>
      <c r="I31" s="74">
        <f>SUM('115自留(季)'!Q28:R28)</f>
        <v>0</v>
      </c>
      <c r="J31" s="74" t="str">
        <f>+'115自留(季)'!S28</f>
        <v/>
      </c>
      <c r="K31" s="74" t="str">
        <f>'115自留(季)'!AI28</f>
        <v/>
      </c>
      <c r="L31" s="74">
        <f>SUM('115自留(季)'!T28:U28)</f>
        <v>0</v>
      </c>
      <c r="M31" s="74" t="str">
        <f>+'115自留(季)'!V28</f>
        <v/>
      </c>
      <c r="N31" s="74">
        <f>SUM('115自留(季)'!X28:Y28)</f>
        <v>0</v>
      </c>
      <c r="O31" s="74">
        <f>+'115自留(季)'!W28+'115自留(季)'!Z28+'115自留(季)'!AC28+'115自留(季)'!AD28</f>
        <v>0</v>
      </c>
      <c r="P31" s="74" t="str">
        <f>+'115自留(季)'!AA28</f>
        <v/>
      </c>
      <c r="Q31" s="74">
        <f>+'115自留(季)'!AB28+'115自留(季)'!AE28+'115自留(季)'!AF28</f>
        <v>0</v>
      </c>
      <c r="R31" s="74">
        <f>+'115自留(季)'!AG28+'115自留(季)'!AH28</f>
        <v>0</v>
      </c>
      <c r="S31" s="74" t="str">
        <f>+'115自留(季)'!AJ28</f>
        <v/>
      </c>
      <c r="T31" s="74">
        <f t="shared" si="4"/>
        <v>0</v>
      </c>
      <c r="U31" s="81">
        <v>6.104265248E9</v>
      </c>
      <c r="V31" s="75">
        <f t="shared" si="5"/>
        <v>-1</v>
      </c>
      <c r="W31" s="82"/>
      <c r="X31" s="82"/>
      <c r="Y31" s="82"/>
      <c r="Z31" s="82"/>
    </row>
    <row r="32" ht="49.5" hidden="1" customHeight="1">
      <c r="A32" s="78" t="s">
        <v>73</v>
      </c>
      <c r="B32" s="79" t="s">
        <v>95</v>
      </c>
      <c r="C32" s="80" t="s">
        <v>74</v>
      </c>
      <c r="D32" s="74">
        <f>SUM('115自留(季)'!D29:G29)</f>
        <v>0</v>
      </c>
      <c r="E32" s="74">
        <f>SUM('115自留(季)'!H29:K29)</f>
        <v>0</v>
      </c>
      <c r="F32" s="74" t="str">
        <f>+'115自留(季)'!L29</f>
        <v/>
      </c>
      <c r="G32" s="74">
        <f>SUM('115自留(季)'!M29:N29)</f>
        <v>0</v>
      </c>
      <c r="H32" s="74">
        <f>SUM('115自留(季)'!O29:P29)</f>
        <v>0</v>
      </c>
      <c r="I32" s="74">
        <f>SUM('115自留(季)'!Q29:R29)</f>
        <v>0</v>
      </c>
      <c r="J32" s="74" t="str">
        <f>+'115自留(季)'!S29</f>
        <v/>
      </c>
      <c r="K32" s="74" t="str">
        <f>'115自留(季)'!AI29</f>
        <v/>
      </c>
      <c r="L32" s="74">
        <f>SUM('115自留(季)'!T29:U29)</f>
        <v>0</v>
      </c>
      <c r="M32" s="74" t="str">
        <f>+'115自留(季)'!V29</f>
        <v/>
      </c>
      <c r="N32" s="74">
        <f>SUM('115自留(季)'!X29:Y29)</f>
        <v>0</v>
      </c>
      <c r="O32" s="74">
        <f>+'115自留(季)'!W29+'115自留(季)'!Z29+'115自留(季)'!AC29+'115自留(季)'!AD29</f>
        <v>0</v>
      </c>
      <c r="P32" s="74" t="str">
        <f>+'115自留(季)'!AA29</f>
        <v/>
      </c>
      <c r="Q32" s="74">
        <f>+'115自留(季)'!AB29+'115自留(季)'!AE29+'115自留(季)'!AF29</f>
        <v>0</v>
      </c>
      <c r="R32" s="74">
        <f>+'115自留(季)'!AG29+'115自留(季)'!AH29</f>
        <v>0</v>
      </c>
      <c r="S32" s="74" t="str">
        <f>+'115自留(季)'!AJ29</f>
        <v/>
      </c>
      <c r="T32" s="74">
        <f t="shared" si="4"/>
        <v>0</v>
      </c>
      <c r="U32" s="81">
        <v>4.410450487E9</v>
      </c>
      <c r="V32" s="75">
        <f t="shared" si="5"/>
        <v>-1</v>
      </c>
      <c r="W32" s="82"/>
      <c r="X32" s="82"/>
      <c r="Y32" s="82"/>
      <c r="Z32" s="82"/>
    </row>
    <row r="33" ht="49.5" hidden="1" customHeight="1">
      <c r="A33" s="78" t="s">
        <v>75</v>
      </c>
      <c r="B33" s="79" t="s">
        <v>95</v>
      </c>
      <c r="C33" s="80" t="s">
        <v>76</v>
      </c>
      <c r="D33" s="74">
        <f>SUM('115自留(季)'!D30:G30)</f>
        <v>0</v>
      </c>
      <c r="E33" s="74">
        <f>SUM('115自留(季)'!H30:K30)</f>
        <v>0</v>
      </c>
      <c r="F33" s="74" t="str">
        <f>+'115自留(季)'!L30</f>
        <v/>
      </c>
      <c r="G33" s="74">
        <f>SUM('115自留(季)'!M30:N30)</f>
        <v>0</v>
      </c>
      <c r="H33" s="74">
        <f>SUM('115自留(季)'!O30:P30)</f>
        <v>0</v>
      </c>
      <c r="I33" s="74">
        <f>SUM('115自留(季)'!Q30:R30)</f>
        <v>0</v>
      </c>
      <c r="J33" s="74" t="str">
        <f>+'115自留(季)'!S30</f>
        <v/>
      </c>
      <c r="K33" s="74" t="str">
        <f>'115自留(季)'!AI30</f>
        <v/>
      </c>
      <c r="L33" s="74">
        <f>SUM('115自留(季)'!T30:U30)</f>
        <v>0</v>
      </c>
      <c r="M33" s="74" t="str">
        <f>+'115自留(季)'!V30</f>
        <v/>
      </c>
      <c r="N33" s="74">
        <f>SUM('115自留(季)'!X30:Y30)</f>
        <v>0</v>
      </c>
      <c r="O33" s="74">
        <f>+'115自留(季)'!W30+'115自留(季)'!Z30+'115自留(季)'!AC30+'115自留(季)'!AD30</f>
        <v>0</v>
      </c>
      <c r="P33" s="74" t="str">
        <f>+'115自留(季)'!AA30</f>
        <v/>
      </c>
      <c r="Q33" s="74">
        <f>+'115自留(季)'!AB30+'115自留(季)'!AE30+'115自留(季)'!AF30</f>
        <v>0</v>
      </c>
      <c r="R33" s="74">
        <f>+'115自留(季)'!AG30+'115自留(季)'!AH30</f>
        <v>0</v>
      </c>
      <c r="S33" s="74" t="str">
        <f>+'115自留(季)'!AJ30</f>
        <v/>
      </c>
      <c r="T33" s="74">
        <f t="shared" si="4"/>
        <v>0</v>
      </c>
      <c r="U33" s="81">
        <v>3.659598509E9</v>
      </c>
      <c r="V33" s="75">
        <f t="shared" si="5"/>
        <v>-1</v>
      </c>
      <c r="W33" s="82"/>
      <c r="X33" s="82"/>
      <c r="Y33" s="82"/>
      <c r="Z33" s="82"/>
    </row>
    <row r="34" ht="49.5" hidden="1" customHeight="1">
      <c r="A34" s="78" t="s">
        <v>77</v>
      </c>
      <c r="B34" s="79" t="s">
        <v>95</v>
      </c>
      <c r="C34" s="80" t="s">
        <v>78</v>
      </c>
      <c r="D34" s="74">
        <f>SUM('115自留(季)'!D31:G31)</f>
        <v>0</v>
      </c>
      <c r="E34" s="74">
        <f>SUM('115自留(季)'!H31:K31)</f>
        <v>0</v>
      </c>
      <c r="F34" s="74" t="str">
        <f>+'115自留(季)'!L31</f>
        <v/>
      </c>
      <c r="G34" s="74">
        <f>SUM('115自留(季)'!M31:N31)</f>
        <v>0</v>
      </c>
      <c r="H34" s="74">
        <f>SUM('115自留(季)'!O31:P31)</f>
        <v>0</v>
      </c>
      <c r="I34" s="74">
        <f>SUM('115自留(季)'!Q31:R31)</f>
        <v>0</v>
      </c>
      <c r="J34" s="74" t="str">
        <f>+'115自留(季)'!S31</f>
        <v/>
      </c>
      <c r="K34" s="74" t="str">
        <f>'115自留(季)'!AI31</f>
        <v/>
      </c>
      <c r="L34" s="74">
        <f>SUM('115自留(季)'!T31:U31)</f>
        <v>0</v>
      </c>
      <c r="M34" s="74" t="str">
        <f>+'115自留(季)'!V31</f>
        <v/>
      </c>
      <c r="N34" s="74">
        <f>SUM('115自留(季)'!X31:Y31)</f>
        <v>0</v>
      </c>
      <c r="O34" s="74">
        <f>+'115自留(季)'!W31+'115自留(季)'!Z31+'115自留(季)'!AC31+'115自留(季)'!AD31</f>
        <v>0</v>
      </c>
      <c r="P34" s="74" t="str">
        <f>+'115自留(季)'!AA31</f>
        <v/>
      </c>
      <c r="Q34" s="74">
        <f>+'115自留(季)'!AB31+'115自留(季)'!AE31+'115自留(季)'!AF31</f>
        <v>0</v>
      </c>
      <c r="R34" s="74">
        <f>+'115自留(季)'!AG31+'115自留(季)'!AH31</f>
        <v>0</v>
      </c>
      <c r="S34" s="74" t="str">
        <f>+'115自留(季)'!AJ31</f>
        <v/>
      </c>
      <c r="T34" s="74">
        <f t="shared" si="4"/>
        <v>0</v>
      </c>
      <c r="U34" s="81">
        <v>5.477686378E9</v>
      </c>
      <c r="V34" s="75">
        <f t="shared" si="5"/>
        <v>-1</v>
      </c>
      <c r="W34" s="82"/>
      <c r="X34" s="82"/>
      <c r="Y34" s="82"/>
      <c r="Z34" s="82"/>
    </row>
    <row r="35" ht="49.5" hidden="1" customHeight="1">
      <c r="A35" s="78" t="s">
        <v>79</v>
      </c>
      <c r="B35" s="79" t="s">
        <v>95</v>
      </c>
      <c r="C35" s="80" t="s">
        <v>80</v>
      </c>
      <c r="D35" s="74">
        <f>SUM('115自留(季)'!D32:G32)</f>
        <v>0</v>
      </c>
      <c r="E35" s="74">
        <f>SUM('115自留(季)'!H32:K32)</f>
        <v>0</v>
      </c>
      <c r="F35" s="74" t="str">
        <f>+'115自留(季)'!L32</f>
        <v/>
      </c>
      <c r="G35" s="74">
        <f>SUM('115自留(季)'!M32:N32)</f>
        <v>0</v>
      </c>
      <c r="H35" s="74">
        <f>SUM('115自留(季)'!O32:P32)</f>
        <v>0</v>
      </c>
      <c r="I35" s="74">
        <f>SUM('115自留(季)'!Q32:R32)</f>
        <v>0</v>
      </c>
      <c r="J35" s="74" t="str">
        <f>+'115自留(季)'!S32</f>
        <v/>
      </c>
      <c r="K35" s="74" t="str">
        <f>'115自留(季)'!AI32</f>
        <v/>
      </c>
      <c r="L35" s="74">
        <f>SUM('115自留(季)'!T32:U32)</f>
        <v>0</v>
      </c>
      <c r="M35" s="74" t="str">
        <f>+'115自留(季)'!V32</f>
        <v/>
      </c>
      <c r="N35" s="74">
        <f>SUM('115自留(季)'!X32:Y32)</f>
        <v>0</v>
      </c>
      <c r="O35" s="74">
        <f>+'115自留(季)'!W32+'115自留(季)'!Z32+'115自留(季)'!AC32+'115自留(季)'!AD32</f>
        <v>0</v>
      </c>
      <c r="P35" s="74" t="str">
        <f>+'115自留(季)'!AA32</f>
        <v/>
      </c>
      <c r="Q35" s="74">
        <f>+'115自留(季)'!AB32+'115自留(季)'!AE32+'115自留(季)'!AF32</f>
        <v>0</v>
      </c>
      <c r="R35" s="74">
        <f>+'115自留(季)'!AG32+'115自留(季)'!AH32</f>
        <v>0</v>
      </c>
      <c r="S35" s="74" t="str">
        <f>+'115自留(季)'!AJ32</f>
        <v/>
      </c>
      <c r="T35" s="74">
        <f t="shared" si="4"/>
        <v>0</v>
      </c>
      <c r="U35" s="81">
        <v>1.0446834849E10</v>
      </c>
      <c r="V35" s="75">
        <f t="shared" si="5"/>
        <v>-1</v>
      </c>
      <c r="W35" s="82"/>
      <c r="X35" s="82"/>
      <c r="Y35" s="82"/>
      <c r="Z35" s="82"/>
    </row>
    <row r="36" ht="49.5" hidden="1" customHeight="1">
      <c r="A36" s="78" t="s">
        <v>81</v>
      </c>
      <c r="B36" s="79" t="s">
        <v>95</v>
      </c>
      <c r="C36" s="80" t="s">
        <v>82</v>
      </c>
      <c r="D36" s="74">
        <f>SUM('115自留(季)'!D33:G33)</f>
        <v>0</v>
      </c>
      <c r="E36" s="74">
        <f>SUM('115自留(季)'!H33:K33)</f>
        <v>0</v>
      </c>
      <c r="F36" s="74" t="str">
        <f>+'115自留(季)'!L33</f>
        <v/>
      </c>
      <c r="G36" s="74">
        <f>SUM('115自留(季)'!M33:N33)</f>
        <v>0</v>
      </c>
      <c r="H36" s="74">
        <f>SUM('115自留(季)'!O33:P33)</f>
        <v>0</v>
      </c>
      <c r="I36" s="74">
        <f>SUM('115自留(季)'!Q33:R33)</f>
        <v>0</v>
      </c>
      <c r="J36" s="74" t="str">
        <f>+'115自留(季)'!S33</f>
        <v/>
      </c>
      <c r="K36" s="74" t="str">
        <f>'115自留(季)'!AI33</f>
        <v/>
      </c>
      <c r="L36" s="74">
        <f>SUM('115自留(季)'!T33:U33)</f>
        <v>0</v>
      </c>
      <c r="M36" s="74" t="str">
        <f>+'115自留(季)'!V33</f>
        <v/>
      </c>
      <c r="N36" s="74">
        <f>SUM('115自留(季)'!X33:Y33)</f>
        <v>0</v>
      </c>
      <c r="O36" s="74">
        <f>+'115自留(季)'!W33+'115自留(季)'!Z33+'115自留(季)'!AC33+'115自留(季)'!AD33</f>
        <v>0</v>
      </c>
      <c r="P36" s="74" t="str">
        <f>+'115自留(季)'!AA33</f>
        <v/>
      </c>
      <c r="Q36" s="74">
        <f>+'115自留(季)'!AB33+'115自留(季)'!AE33+'115自留(季)'!AF33</f>
        <v>0</v>
      </c>
      <c r="R36" s="74">
        <f>+'115自留(季)'!AG33+'115自留(季)'!AH33</f>
        <v>0</v>
      </c>
      <c r="S36" s="74" t="str">
        <f>+'115自留(季)'!AJ33</f>
        <v/>
      </c>
      <c r="T36" s="74">
        <f t="shared" si="4"/>
        <v>0</v>
      </c>
      <c r="U36" s="81">
        <v>5.642085034E9</v>
      </c>
      <c r="V36" s="75">
        <f t="shared" si="5"/>
        <v>-1</v>
      </c>
      <c r="W36" s="82"/>
      <c r="X36" s="82"/>
      <c r="Y36" s="82"/>
      <c r="Z36" s="82"/>
    </row>
    <row r="37" ht="49.5" hidden="1" customHeight="1">
      <c r="A37" s="78" t="s">
        <v>83</v>
      </c>
      <c r="B37" s="79" t="s">
        <v>95</v>
      </c>
      <c r="C37" s="80" t="s">
        <v>84</v>
      </c>
      <c r="D37" s="74">
        <f>SUM('115自留(季)'!D34:G34)</f>
        <v>0</v>
      </c>
      <c r="E37" s="74">
        <f>SUM('115自留(季)'!H34:K34)</f>
        <v>0</v>
      </c>
      <c r="F37" s="74" t="str">
        <f>+'115自留(季)'!L34</f>
        <v/>
      </c>
      <c r="G37" s="74">
        <f>SUM('115自留(季)'!M34:N34)</f>
        <v>0</v>
      </c>
      <c r="H37" s="74">
        <f>SUM('115自留(季)'!O34:P34)</f>
        <v>0</v>
      </c>
      <c r="I37" s="74">
        <f>SUM('115自留(季)'!Q34:R34)</f>
        <v>0</v>
      </c>
      <c r="J37" s="74" t="str">
        <f>+'115自留(季)'!S34</f>
        <v/>
      </c>
      <c r="K37" s="74" t="str">
        <f>'115自留(季)'!AI34</f>
        <v/>
      </c>
      <c r="L37" s="74">
        <f>SUM('115自留(季)'!T34:U34)</f>
        <v>0</v>
      </c>
      <c r="M37" s="74" t="str">
        <f>+'115自留(季)'!V34</f>
        <v/>
      </c>
      <c r="N37" s="74">
        <f>SUM('115自留(季)'!X34:Y34)</f>
        <v>0</v>
      </c>
      <c r="O37" s="74">
        <f>+'115自留(季)'!W34+'115自留(季)'!Z34+'115自留(季)'!AC34+'115自留(季)'!AD34</f>
        <v>0</v>
      </c>
      <c r="P37" s="74" t="str">
        <f>+'115自留(季)'!AA34</f>
        <v/>
      </c>
      <c r="Q37" s="74">
        <f>+'115自留(季)'!AB34+'115自留(季)'!AE34+'115自留(季)'!AF34</f>
        <v>0</v>
      </c>
      <c r="R37" s="74">
        <f>+'115自留(季)'!AG34+'115自留(季)'!AH34</f>
        <v>0</v>
      </c>
      <c r="S37" s="74" t="str">
        <f>+'115自留(季)'!AJ34</f>
        <v/>
      </c>
      <c r="T37" s="74">
        <f t="shared" si="4"/>
        <v>0</v>
      </c>
      <c r="U37" s="81">
        <v>1.3774228782E10</v>
      </c>
      <c r="V37" s="75">
        <f t="shared" si="5"/>
        <v>-1</v>
      </c>
      <c r="W37" s="82"/>
      <c r="X37" s="82"/>
      <c r="Y37" s="82"/>
      <c r="Z37" s="82"/>
    </row>
    <row r="38" ht="49.5" hidden="1" customHeight="1">
      <c r="A38" s="78" t="s">
        <v>85</v>
      </c>
      <c r="B38" s="79" t="s">
        <v>95</v>
      </c>
      <c r="C38" s="80" t="s">
        <v>86</v>
      </c>
      <c r="D38" s="74">
        <f>SUM('115自留(季)'!D35:G35)</f>
        <v>0</v>
      </c>
      <c r="E38" s="74">
        <f>SUM('115自留(季)'!H35:K35)</f>
        <v>0</v>
      </c>
      <c r="F38" s="74" t="str">
        <f>+'115自留(季)'!L35</f>
        <v/>
      </c>
      <c r="G38" s="74">
        <f>SUM('115自留(季)'!M35:N35)</f>
        <v>0</v>
      </c>
      <c r="H38" s="74">
        <f>SUM('115自留(季)'!O35:P35)</f>
        <v>0</v>
      </c>
      <c r="I38" s="74">
        <f>SUM('115自留(季)'!Q35:R35)</f>
        <v>0</v>
      </c>
      <c r="J38" s="74" t="str">
        <f>+'115自留(季)'!S35</f>
        <v/>
      </c>
      <c r="K38" s="74" t="str">
        <f>'115自留(季)'!AI35</f>
        <v/>
      </c>
      <c r="L38" s="74">
        <f>SUM('115自留(季)'!T35:U35)</f>
        <v>0</v>
      </c>
      <c r="M38" s="74" t="str">
        <f>+'115自留(季)'!V35</f>
        <v/>
      </c>
      <c r="N38" s="74">
        <f>SUM('115自留(季)'!X35:Y35)</f>
        <v>0</v>
      </c>
      <c r="O38" s="74">
        <f>+'115自留(季)'!W35+'115自留(季)'!Z35+'115自留(季)'!AC35+'115自留(季)'!AD35</f>
        <v>0</v>
      </c>
      <c r="P38" s="74" t="str">
        <f>+'115自留(季)'!AA35</f>
        <v/>
      </c>
      <c r="Q38" s="74">
        <f>+'115自留(季)'!AB35+'115自留(季)'!AE35+'115自留(季)'!AF35</f>
        <v>0</v>
      </c>
      <c r="R38" s="74">
        <f>+'115自留(季)'!AG35+'115自留(季)'!AH35</f>
        <v>0</v>
      </c>
      <c r="S38" s="74" t="str">
        <f>+'115自留(季)'!AJ35</f>
        <v/>
      </c>
      <c r="T38" s="74">
        <f t="shared" si="4"/>
        <v>0</v>
      </c>
      <c r="U38" s="81">
        <v>9.014093036E9</v>
      </c>
      <c r="V38" s="75">
        <f t="shared" si="5"/>
        <v>-1</v>
      </c>
      <c r="W38" s="82"/>
      <c r="X38" s="82"/>
      <c r="Y38" s="82"/>
      <c r="Z38" s="82"/>
    </row>
    <row r="39" ht="49.5" hidden="1" customHeight="1">
      <c r="A39" s="78">
        <v>18.0</v>
      </c>
      <c r="B39" s="79" t="s">
        <v>95</v>
      </c>
      <c r="C39" s="83" t="s">
        <v>87</v>
      </c>
      <c r="D39" s="74">
        <f>SUM('115自留(季)'!D36:G36)</f>
        <v>0</v>
      </c>
      <c r="E39" s="74">
        <f>SUM('115自留(季)'!H36:K36)</f>
        <v>0</v>
      </c>
      <c r="F39" s="74" t="str">
        <f>+'115自留(季)'!L36</f>
        <v/>
      </c>
      <c r="G39" s="74">
        <f>SUM('115自留(季)'!M36:N36)</f>
        <v>0</v>
      </c>
      <c r="H39" s="74">
        <f>SUM('115自留(季)'!O36:P36)</f>
        <v>0</v>
      </c>
      <c r="I39" s="74">
        <f>SUM('115自留(季)'!Q36:R36)</f>
        <v>0</v>
      </c>
      <c r="J39" s="74" t="str">
        <f>+'115自留(季)'!S36</f>
        <v/>
      </c>
      <c r="K39" s="74" t="str">
        <f>'115自留(季)'!AI36</f>
        <v/>
      </c>
      <c r="L39" s="74">
        <f>SUM('115自留(季)'!T36:U36)</f>
        <v>0</v>
      </c>
      <c r="M39" s="74" t="str">
        <f>+'115自留(季)'!V36</f>
        <v/>
      </c>
      <c r="N39" s="74">
        <f>SUM('115自留(季)'!X36:Y36)</f>
        <v>0</v>
      </c>
      <c r="O39" s="74">
        <f>+'115自留(季)'!W36+'115自留(季)'!Z36+'115自留(季)'!AC36+'115自留(季)'!AD36</f>
        <v>0</v>
      </c>
      <c r="P39" s="74" t="str">
        <f>+'115自留(季)'!AA36</f>
        <v/>
      </c>
      <c r="Q39" s="74">
        <f>+'115自留(季)'!AB36+'115自留(季)'!AE36+'115自留(季)'!AF36</f>
        <v>0</v>
      </c>
      <c r="R39" s="74">
        <f>+'115自留(季)'!AG36+'115自留(季)'!AH36</f>
        <v>0</v>
      </c>
      <c r="S39" s="74" t="str">
        <f>+'115自留(季)'!AJ36</f>
        <v/>
      </c>
      <c r="T39" s="74">
        <f t="shared" si="4"/>
        <v>0</v>
      </c>
      <c r="U39" s="81">
        <v>1.205130474E9</v>
      </c>
      <c r="V39" s="75">
        <f t="shared" si="5"/>
        <v>-1</v>
      </c>
      <c r="W39" s="82"/>
      <c r="X39" s="82"/>
      <c r="Y39" s="82"/>
      <c r="Z39" s="82"/>
    </row>
    <row r="40" ht="45.75" hidden="1" customHeight="1">
      <c r="A40" s="78">
        <v>28.0</v>
      </c>
      <c r="B40" s="79" t="s">
        <v>95</v>
      </c>
      <c r="C40" s="80" t="s">
        <v>88</v>
      </c>
      <c r="D40" s="74">
        <f>SUM('115自留(季)'!D37:G37)</f>
        <v>0</v>
      </c>
      <c r="E40" s="74">
        <f>SUM('115自留(季)'!H37:K37)</f>
        <v>0</v>
      </c>
      <c r="F40" s="74" t="str">
        <f>+'115自留(季)'!L37</f>
        <v/>
      </c>
      <c r="G40" s="74">
        <f>SUM('115自留(季)'!M37:N37)</f>
        <v>0</v>
      </c>
      <c r="H40" s="74">
        <f>SUM('115自留(季)'!O37:P37)</f>
        <v>0</v>
      </c>
      <c r="I40" s="74">
        <f>SUM('115自留(季)'!Q37:R37)</f>
        <v>0</v>
      </c>
      <c r="J40" s="74" t="str">
        <f>+'115自留(季)'!S37</f>
        <v/>
      </c>
      <c r="K40" s="74" t="str">
        <f>'115自留(季)'!AI37</f>
        <v/>
      </c>
      <c r="L40" s="74">
        <f>SUM('115自留(季)'!T37:U37)</f>
        <v>0</v>
      </c>
      <c r="M40" s="74" t="str">
        <f>+'115自留(季)'!V37</f>
        <v/>
      </c>
      <c r="N40" s="74">
        <f>SUM('115自留(季)'!X37:Y37)</f>
        <v>0</v>
      </c>
      <c r="O40" s="74">
        <f>+'115自留(季)'!W37+'115自留(季)'!Z37+'115自留(季)'!AC37+'115自留(季)'!AD37</f>
        <v>0</v>
      </c>
      <c r="P40" s="74" t="str">
        <f>+'115自留(季)'!AA37</f>
        <v/>
      </c>
      <c r="Q40" s="74">
        <f>+'115自留(季)'!AB37+'115自留(季)'!AE37+'115自留(季)'!AF37</f>
        <v>0</v>
      </c>
      <c r="R40" s="74">
        <f>+'115自留(季)'!AG37+'115自留(季)'!AH37</f>
        <v>0</v>
      </c>
      <c r="S40" s="74" t="str">
        <f>+'115自留(季)'!AJ37</f>
        <v/>
      </c>
      <c r="T40" s="74">
        <f t="shared" si="4"/>
        <v>0</v>
      </c>
      <c r="U40" s="81">
        <v>-3166214.0</v>
      </c>
      <c r="V40" s="84">
        <f t="shared" si="5"/>
        <v>-1</v>
      </c>
      <c r="W40" s="82"/>
      <c r="X40" s="82"/>
      <c r="Y40" s="82"/>
      <c r="Z40" s="82"/>
    </row>
    <row r="41" ht="49.5" hidden="1" customHeight="1">
      <c r="A41" s="78">
        <v>29.0</v>
      </c>
      <c r="B41" s="79" t="s">
        <v>95</v>
      </c>
      <c r="C41" s="80" t="s">
        <v>89</v>
      </c>
      <c r="D41" s="74">
        <f>SUM('115自留(季)'!D38:G38)</f>
        <v>0</v>
      </c>
      <c r="E41" s="74">
        <f>SUM('115自留(季)'!H38:K38)</f>
        <v>0</v>
      </c>
      <c r="F41" s="74" t="str">
        <f>+'115自留(季)'!L38</f>
        <v/>
      </c>
      <c r="G41" s="74">
        <f>SUM('115自留(季)'!M38:N38)</f>
        <v>0</v>
      </c>
      <c r="H41" s="74">
        <f>SUM('115自留(季)'!O38:P38)</f>
        <v>0</v>
      </c>
      <c r="I41" s="74">
        <f>SUM('115自留(季)'!Q38:R38)</f>
        <v>0</v>
      </c>
      <c r="J41" s="74" t="str">
        <f>+'115自留(季)'!S38</f>
        <v/>
      </c>
      <c r="K41" s="74" t="str">
        <f>'115自留(季)'!AI38</f>
        <v/>
      </c>
      <c r="L41" s="74">
        <f>SUM('115自留(季)'!T38:U38)</f>
        <v>0</v>
      </c>
      <c r="M41" s="74" t="str">
        <f>+'115自留(季)'!V38</f>
        <v/>
      </c>
      <c r="N41" s="74">
        <f>SUM('115自留(季)'!X38:Y38)</f>
        <v>0</v>
      </c>
      <c r="O41" s="74">
        <f>+'115自留(季)'!W38+'115自留(季)'!Z38+'115自留(季)'!AC38+'115自留(季)'!AD38</f>
        <v>0</v>
      </c>
      <c r="P41" s="74" t="str">
        <f>+'115自留(季)'!AA38</f>
        <v/>
      </c>
      <c r="Q41" s="74">
        <f>+'115自留(季)'!AB38+'115自留(季)'!AE38+'115自留(季)'!AF38</f>
        <v>0</v>
      </c>
      <c r="R41" s="74">
        <f>+'115自留(季)'!AG38+'115自留(季)'!AH38</f>
        <v>0</v>
      </c>
      <c r="S41" s="74" t="str">
        <f>+'115自留(季)'!AJ38</f>
        <v/>
      </c>
      <c r="T41" s="74">
        <f t="shared" si="4"/>
        <v>0</v>
      </c>
      <c r="U41" s="81">
        <v>3.01140406E8</v>
      </c>
      <c r="V41" s="75">
        <f t="shared" si="5"/>
        <v>-1</v>
      </c>
      <c r="W41" s="82"/>
      <c r="X41" s="82"/>
      <c r="Y41" s="82"/>
      <c r="Z41" s="82"/>
    </row>
    <row r="42" ht="49.5" hidden="1" customHeight="1">
      <c r="A42" s="78" t="s">
        <v>90</v>
      </c>
      <c r="B42" s="79" t="s">
        <v>95</v>
      </c>
      <c r="C42" s="80" t="s">
        <v>91</v>
      </c>
      <c r="D42" s="74">
        <f>SUM('115自留(季)'!D39:G39)</f>
        <v>0</v>
      </c>
      <c r="E42" s="74">
        <f>SUM('115自留(季)'!H39:K39)</f>
        <v>0</v>
      </c>
      <c r="F42" s="74" t="str">
        <f>+'115自留(季)'!L39</f>
        <v/>
      </c>
      <c r="G42" s="74">
        <f>SUM('115自留(季)'!M39:N39)</f>
        <v>0</v>
      </c>
      <c r="H42" s="74">
        <f>SUM('115自留(季)'!O39:P39)</f>
        <v>0</v>
      </c>
      <c r="I42" s="74">
        <f>SUM('115自留(季)'!Q39:R39)</f>
        <v>0</v>
      </c>
      <c r="J42" s="74" t="str">
        <f>+'115自留(季)'!S39</f>
        <v/>
      </c>
      <c r="K42" s="74" t="str">
        <f>'115自留(季)'!AI39</f>
        <v/>
      </c>
      <c r="L42" s="74">
        <f>SUM('115自留(季)'!T39:U39)</f>
        <v>0</v>
      </c>
      <c r="M42" s="74" t="str">
        <f>+'115自留(季)'!V39</f>
        <v/>
      </c>
      <c r="N42" s="74">
        <f>SUM('115自留(季)'!X39:Y39)</f>
        <v>0</v>
      </c>
      <c r="O42" s="74">
        <f>+'115自留(季)'!W39+'115自留(季)'!Z39+'115自留(季)'!AC39+'115自留(季)'!AD39</f>
        <v>0</v>
      </c>
      <c r="P42" s="74" t="str">
        <f>+'115自留(季)'!AA39</f>
        <v/>
      </c>
      <c r="Q42" s="74">
        <f>+'115自留(季)'!AB39+'115自留(季)'!AE39+'115自留(季)'!AF39</f>
        <v>0</v>
      </c>
      <c r="R42" s="74">
        <f>+'115自留(季)'!AG39+'115自留(季)'!AH39</f>
        <v>0</v>
      </c>
      <c r="S42" s="74" t="str">
        <f>+'115自留(季)'!AJ39</f>
        <v/>
      </c>
      <c r="T42" s="74">
        <f t="shared" si="4"/>
        <v>0</v>
      </c>
      <c r="U42" s="81">
        <v>2.299997536E9</v>
      </c>
      <c r="V42" s="75">
        <f t="shared" si="5"/>
        <v>-1</v>
      </c>
      <c r="W42" s="82"/>
      <c r="X42" s="82"/>
      <c r="Y42" s="82"/>
      <c r="Z42" s="82"/>
    </row>
    <row r="43" ht="49.5" hidden="1" customHeight="1">
      <c r="A43" s="78" t="s">
        <v>96</v>
      </c>
      <c r="B43" s="79" t="s">
        <v>95</v>
      </c>
      <c r="C43" s="80" t="s">
        <v>92</v>
      </c>
      <c r="D43" s="74">
        <f>SUM('115自留(季)'!D40:G40)</f>
        <v>0</v>
      </c>
      <c r="E43" s="74">
        <f>SUM('115自留(季)'!H40:K40)</f>
        <v>0</v>
      </c>
      <c r="F43" s="74" t="str">
        <f>+'115自留(季)'!L40</f>
        <v/>
      </c>
      <c r="G43" s="74">
        <f>SUM('115自留(季)'!M40:N40)</f>
        <v>0</v>
      </c>
      <c r="H43" s="74">
        <f>SUM('115自留(季)'!O40:P40)</f>
        <v>0</v>
      </c>
      <c r="I43" s="74">
        <f>SUM('115自留(季)'!Q40:R40)</f>
        <v>0</v>
      </c>
      <c r="J43" s="74" t="str">
        <f>+'115自留(季)'!S40</f>
        <v/>
      </c>
      <c r="K43" s="74" t="str">
        <f>'115自留(季)'!AI40</f>
        <v/>
      </c>
      <c r="L43" s="74">
        <f>SUM('115自留(季)'!T40:U40)</f>
        <v>0</v>
      </c>
      <c r="M43" s="74" t="str">
        <f>+'115自留(季)'!V40</f>
        <v/>
      </c>
      <c r="N43" s="74">
        <f>SUM('115自留(季)'!X40:Y40)</f>
        <v>0</v>
      </c>
      <c r="O43" s="74">
        <f>+'115自留(季)'!W40+'115自留(季)'!Z40+'115自留(季)'!AC40+'115自留(季)'!AD40</f>
        <v>0</v>
      </c>
      <c r="P43" s="74" t="str">
        <f>+'115自留(季)'!AA40</f>
        <v/>
      </c>
      <c r="Q43" s="74">
        <f>+'115自留(季)'!AB40+'115自留(季)'!AE40+'115自留(季)'!AF40</f>
        <v>0</v>
      </c>
      <c r="R43" s="74">
        <f>+'115自留(季)'!AG40+'115自留(季)'!AH40</f>
        <v>0</v>
      </c>
      <c r="S43" s="74" t="str">
        <f>+'115自留(季)'!AJ40</f>
        <v/>
      </c>
      <c r="T43" s="74">
        <f t="shared" si="4"/>
        <v>0</v>
      </c>
      <c r="U43" s="81">
        <v>4.8178602E7</v>
      </c>
      <c r="V43" s="75">
        <f t="shared" si="5"/>
        <v>-1</v>
      </c>
      <c r="W43" s="82"/>
      <c r="X43" s="82"/>
      <c r="Y43" s="82"/>
      <c r="Z43" s="82"/>
    </row>
    <row r="44" ht="49.5" hidden="1" customHeight="1">
      <c r="A44" s="78">
        <v>47.0</v>
      </c>
      <c r="B44" s="79" t="s">
        <v>95</v>
      </c>
      <c r="C44" s="80" t="s">
        <v>93</v>
      </c>
      <c r="D44" s="74">
        <f>SUM('115自留(季)'!D41:G41)</f>
        <v>0</v>
      </c>
      <c r="E44" s="74">
        <f>SUM('115自留(季)'!H41:K41)</f>
        <v>0</v>
      </c>
      <c r="F44" s="74" t="str">
        <f>+'115自留(季)'!L41</f>
        <v/>
      </c>
      <c r="G44" s="74">
        <f>SUM('115自留(季)'!M41:N41)</f>
        <v>0</v>
      </c>
      <c r="H44" s="74">
        <f>SUM('115自留(季)'!O41:P41)</f>
        <v>0</v>
      </c>
      <c r="I44" s="74">
        <f>SUM('115自留(季)'!Q41:R41)</f>
        <v>0</v>
      </c>
      <c r="J44" s="74" t="str">
        <f>+'115自留(季)'!S41</f>
        <v/>
      </c>
      <c r="K44" s="74" t="str">
        <f>'115自留(季)'!AI41</f>
        <v/>
      </c>
      <c r="L44" s="74">
        <f>SUM('115自留(季)'!T41:U41)</f>
        <v>0</v>
      </c>
      <c r="M44" s="74" t="str">
        <f>+'115自留(季)'!V41</f>
        <v/>
      </c>
      <c r="N44" s="74">
        <f>SUM('115自留(季)'!X41:Y41)</f>
        <v>0</v>
      </c>
      <c r="O44" s="74">
        <f>+'115自留(季)'!W41+'115自留(季)'!Z41+'115自留(季)'!AC41+'115自留(季)'!AD41</f>
        <v>0</v>
      </c>
      <c r="P44" s="74" t="str">
        <f>+'115自留(季)'!AA41</f>
        <v/>
      </c>
      <c r="Q44" s="74">
        <f>+'115自留(季)'!AB41+'115自留(季)'!AE41+'115自留(季)'!AF41</f>
        <v>0</v>
      </c>
      <c r="R44" s="74">
        <f>+'115自留(季)'!AG41+'115自留(季)'!AH41</f>
        <v>0</v>
      </c>
      <c r="S44" s="74" t="str">
        <f>+'115自留(季)'!AJ41</f>
        <v/>
      </c>
      <c r="T44" s="74">
        <f t="shared" si="4"/>
        <v>0</v>
      </c>
      <c r="U44" s="81">
        <v>1.7109939E7</v>
      </c>
      <c r="V44" s="75">
        <f t="shared" si="5"/>
        <v>-1</v>
      </c>
      <c r="W44" s="82"/>
      <c r="X44" s="82"/>
      <c r="Y44" s="82"/>
      <c r="Z44" s="82"/>
    </row>
    <row r="45" ht="49.5" hidden="1" customHeight="1">
      <c r="A45" s="78"/>
      <c r="B45" s="79" t="s">
        <v>95</v>
      </c>
      <c r="C45" s="80" t="s">
        <v>94</v>
      </c>
      <c r="D45" s="74">
        <f t="shared" ref="D45:U45" si="6">SUBTOTAL(9,D26:D44)</f>
        <v>0</v>
      </c>
      <c r="E45" s="74">
        <f t="shared" si="6"/>
        <v>0</v>
      </c>
      <c r="F45" s="74">
        <f t="shared" si="6"/>
        <v>0</v>
      </c>
      <c r="G45" s="74">
        <f t="shared" si="6"/>
        <v>0</v>
      </c>
      <c r="H45" s="74">
        <f t="shared" si="6"/>
        <v>0</v>
      </c>
      <c r="I45" s="74">
        <f t="shared" si="6"/>
        <v>0</v>
      </c>
      <c r="J45" s="74">
        <f t="shared" si="6"/>
        <v>0</v>
      </c>
      <c r="K45" s="74">
        <f t="shared" si="6"/>
        <v>0</v>
      </c>
      <c r="L45" s="74">
        <f t="shared" si="6"/>
        <v>0</v>
      </c>
      <c r="M45" s="74">
        <f t="shared" si="6"/>
        <v>0</v>
      </c>
      <c r="N45" s="74">
        <f t="shared" si="6"/>
        <v>0</v>
      </c>
      <c r="O45" s="74">
        <f t="shared" si="6"/>
        <v>0</v>
      </c>
      <c r="P45" s="74">
        <f t="shared" si="6"/>
        <v>0</v>
      </c>
      <c r="Q45" s="74">
        <f t="shared" si="6"/>
        <v>0</v>
      </c>
      <c r="R45" s="74">
        <f t="shared" si="6"/>
        <v>0</v>
      </c>
      <c r="S45" s="74">
        <f t="shared" si="6"/>
        <v>0</v>
      </c>
      <c r="T45" s="74">
        <f t="shared" si="6"/>
        <v>0</v>
      </c>
      <c r="U45" s="74">
        <f t="shared" si="6"/>
        <v>0</v>
      </c>
      <c r="V45" s="75" t="str">
        <f t="shared" si="5"/>
        <v/>
      </c>
      <c r="W45" s="82"/>
      <c r="X45" s="82"/>
      <c r="Y45" s="82"/>
      <c r="Z45" s="82"/>
    </row>
    <row r="46" ht="42.75" hidden="1" customHeight="1">
      <c r="A46" s="85" t="s">
        <v>60</v>
      </c>
      <c r="B46" s="79" t="s">
        <v>97</v>
      </c>
      <c r="C46" s="86" t="s">
        <v>62</v>
      </c>
      <c r="D46" s="74">
        <f>SUM('115自留(季)'!D43:G43)</f>
        <v>0</v>
      </c>
      <c r="E46" s="74">
        <f>SUM('115自留(季)'!H43:K43)</f>
        <v>0</v>
      </c>
      <c r="F46" s="74" t="str">
        <f>+'115自留(季)'!L43</f>
        <v/>
      </c>
      <c r="G46" s="74">
        <f>SUM('115自留(季)'!M43:N43)</f>
        <v>0</v>
      </c>
      <c r="H46" s="74">
        <f>SUM('115自留(季)'!O43:P43)</f>
        <v>0</v>
      </c>
      <c r="I46" s="74">
        <f>SUM('115自留(季)'!Q43:R43)</f>
        <v>0</v>
      </c>
      <c r="J46" s="74" t="str">
        <f>+'115自留(季)'!S43</f>
        <v/>
      </c>
      <c r="K46" s="74" t="str">
        <f>+'115自留(季)'!AI43</f>
        <v/>
      </c>
      <c r="L46" s="74">
        <f>SUM('115自留(季)'!T43:U43)</f>
        <v>0</v>
      </c>
      <c r="M46" s="74" t="str">
        <f>+'115自留(季)'!V43</f>
        <v/>
      </c>
      <c r="N46" s="74">
        <f>SUM('115自留(季)'!X43:Y43)</f>
        <v>0</v>
      </c>
      <c r="O46" s="74">
        <f>+'115自留(季)'!W43+'115自留(季)'!Z43+'115自留(季)'!AC43+'115自留(季)'!AD43</f>
        <v>0</v>
      </c>
      <c r="P46" s="74" t="str">
        <f>+'115自留(季)'!AA43</f>
        <v/>
      </c>
      <c r="Q46" s="74">
        <f>+'115自留(季)'!AB43+'115自留(季)'!AE43+'115自留(季)'!AF43</f>
        <v>0</v>
      </c>
      <c r="R46" s="74">
        <f>'115自留(季)'!AG43+'115自留(季)'!AH43</f>
        <v>0</v>
      </c>
      <c r="S46" s="74" t="str">
        <f>+'115自留(季)'!AJ43</f>
        <v/>
      </c>
      <c r="T46" s="74">
        <f t="shared" ref="T46:T64" si="7">SUM(D46:S46)</f>
        <v>0</v>
      </c>
      <c r="U46" s="81">
        <v>4.94931974E9</v>
      </c>
      <c r="V46" s="75">
        <f t="shared" si="5"/>
        <v>-1</v>
      </c>
      <c r="W46" s="24"/>
      <c r="X46" s="24"/>
      <c r="Y46" s="24"/>
      <c r="Z46" s="24"/>
    </row>
    <row r="47" ht="42.75" hidden="1" customHeight="1">
      <c r="A47" s="85" t="s">
        <v>63</v>
      </c>
      <c r="B47" s="79" t="s">
        <v>97</v>
      </c>
      <c r="C47" s="86" t="s">
        <v>64</v>
      </c>
      <c r="D47" s="74">
        <f>SUM('115自留(季)'!D44:G44)</f>
        <v>0</v>
      </c>
      <c r="E47" s="74">
        <f>SUM('115自留(季)'!H44:K44)</f>
        <v>0</v>
      </c>
      <c r="F47" s="74" t="str">
        <f>+'115自留(季)'!L44</f>
        <v/>
      </c>
      <c r="G47" s="74">
        <f>SUM('115自留(季)'!M44:N44)</f>
        <v>0</v>
      </c>
      <c r="H47" s="74">
        <f>SUM('115自留(季)'!O44:P44)</f>
        <v>0</v>
      </c>
      <c r="I47" s="74">
        <f>SUM('115自留(季)'!Q44:R44)</f>
        <v>0</v>
      </c>
      <c r="J47" s="74" t="str">
        <f>+'115自留(季)'!S44</f>
        <v/>
      </c>
      <c r="K47" s="74" t="str">
        <f>+'115自留(季)'!AI44</f>
        <v/>
      </c>
      <c r="L47" s="74">
        <f>SUM('115自留(季)'!T44:U44)</f>
        <v>0</v>
      </c>
      <c r="M47" s="74" t="str">
        <f>+'115自留(季)'!V44</f>
        <v/>
      </c>
      <c r="N47" s="74">
        <f>SUM('115自留(季)'!X44:Y44)</f>
        <v>0</v>
      </c>
      <c r="O47" s="74">
        <f>+'115自留(季)'!W44+'115自留(季)'!Z44+'115自留(季)'!AC44+'115自留(季)'!AD44</f>
        <v>0</v>
      </c>
      <c r="P47" s="74" t="str">
        <f>+'115自留(季)'!AA44</f>
        <v/>
      </c>
      <c r="Q47" s="74">
        <f>+'115自留(季)'!AB44+'115自留(季)'!AE44+'115自留(季)'!AF44</f>
        <v>0</v>
      </c>
      <c r="R47" s="74">
        <f>'115自留(季)'!AG44+'115自留(季)'!AH44</f>
        <v>0</v>
      </c>
      <c r="S47" s="74" t="str">
        <f>+'115自留(季)'!AJ44</f>
        <v/>
      </c>
      <c r="T47" s="74">
        <f t="shared" si="7"/>
        <v>0</v>
      </c>
      <c r="U47" s="81">
        <v>4.725110518E9</v>
      </c>
      <c r="V47" s="75">
        <f t="shared" si="5"/>
        <v>-1</v>
      </c>
      <c r="W47" s="24"/>
      <c r="X47" s="24"/>
      <c r="Y47" s="24"/>
      <c r="Z47" s="24"/>
    </row>
    <row r="48" ht="42.75" hidden="1" customHeight="1">
      <c r="A48" s="85" t="s">
        <v>65</v>
      </c>
      <c r="B48" s="79" t="s">
        <v>97</v>
      </c>
      <c r="C48" s="86" t="s">
        <v>66</v>
      </c>
      <c r="D48" s="74">
        <f>SUM('115自留(季)'!D45:G45)</f>
        <v>0</v>
      </c>
      <c r="E48" s="74">
        <f>SUM('115自留(季)'!H45:K45)</f>
        <v>0</v>
      </c>
      <c r="F48" s="74" t="str">
        <f>+'115自留(季)'!L45</f>
        <v/>
      </c>
      <c r="G48" s="74">
        <f>SUM('115自留(季)'!M45:N45)</f>
        <v>0</v>
      </c>
      <c r="H48" s="74">
        <f>SUM('115自留(季)'!O45:P45)</f>
        <v>0</v>
      </c>
      <c r="I48" s="74">
        <f>SUM('115自留(季)'!Q45:R45)</f>
        <v>0</v>
      </c>
      <c r="J48" s="74" t="str">
        <f>+'115自留(季)'!S45</f>
        <v/>
      </c>
      <c r="K48" s="74" t="str">
        <f>+'115自留(季)'!AI45</f>
        <v/>
      </c>
      <c r="L48" s="74">
        <f>SUM('115自留(季)'!T45:U45)</f>
        <v>0</v>
      </c>
      <c r="M48" s="74" t="str">
        <f>+'115自留(季)'!V45</f>
        <v/>
      </c>
      <c r="N48" s="74">
        <f>SUM('115自留(季)'!X45:Y45)</f>
        <v>0</v>
      </c>
      <c r="O48" s="74">
        <f>+'115自留(季)'!W45+'115自留(季)'!Z45+'115自留(季)'!AC45+'115自留(季)'!AD45</f>
        <v>0</v>
      </c>
      <c r="P48" s="74" t="str">
        <f>+'115自留(季)'!AA45</f>
        <v/>
      </c>
      <c r="Q48" s="74">
        <f>+'115自留(季)'!AB45+'115自留(季)'!AE45+'115自留(季)'!AF45</f>
        <v>0</v>
      </c>
      <c r="R48" s="74">
        <f>'115自留(季)'!AG45+'115自留(季)'!AH45</f>
        <v>0</v>
      </c>
      <c r="S48" s="74" t="str">
        <f>+'115自留(季)'!AJ45</f>
        <v/>
      </c>
      <c r="T48" s="74">
        <f t="shared" si="7"/>
        <v>0</v>
      </c>
      <c r="U48" s="81">
        <v>3.576929898793E10</v>
      </c>
      <c r="V48" s="75">
        <f t="shared" si="5"/>
        <v>-1</v>
      </c>
      <c r="W48" s="24"/>
      <c r="X48" s="24"/>
      <c r="Y48" s="24"/>
      <c r="Z48" s="24"/>
    </row>
    <row r="49" ht="42.75" hidden="1" customHeight="1">
      <c r="A49" s="85" t="s">
        <v>67</v>
      </c>
      <c r="B49" s="79" t="s">
        <v>97</v>
      </c>
      <c r="C49" s="86" t="s">
        <v>68</v>
      </c>
      <c r="D49" s="74">
        <f>SUM('115自留(季)'!D46:G46)</f>
        <v>0</v>
      </c>
      <c r="E49" s="74">
        <f>SUM('115自留(季)'!H46:K46)</f>
        <v>0</v>
      </c>
      <c r="F49" s="74" t="str">
        <f>+'115自留(季)'!L46</f>
        <v/>
      </c>
      <c r="G49" s="74">
        <f>SUM('115自留(季)'!M46:N46)</f>
        <v>0</v>
      </c>
      <c r="H49" s="74">
        <f>SUM('115自留(季)'!O46:P46)</f>
        <v>0</v>
      </c>
      <c r="I49" s="74">
        <f>SUM('115自留(季)'!Q46:R46)</f>
        <v>0</v>
      </c>
      <c r="J49" s="74" t="str">
        <f>+'115自留(季)'!S46</f>
        <v/>
      </c>
      <c r="K49" s="74" t="str">
        <f>+'115自留(季)'!AI46</f>
        <v/>
      </c>
      <c r="L49" s="74">
        <f>SUM('115自留(季)'!T46:U46)</f>
        <v>0</v>
      </c>
      <c r="M49" s="74" t="str">
        <f>+'115自留(季)'!V46</f>
        <v/>
      </c>
      <c r="N49" s="74">
        <f>SUM('115自留(季)'!X46:Y46)</f>
        <v>0</v>
      </c>
      <c r="O49" s="74">
        <f>+'115自留(季)'!W46+'115自留(季)'!Z46+'115自留(季)'!AC46+'115自留(季)'!AD46</f>
        <v>0</v>
      </c>
      <c r="P49" s="74" t="str">
        <f>+'115自留(季)'!AA46</f>
        <v/>
      </c>
      <c r="Q49" s="74">
        <f>+'115自留(季)'!AB46+'115自留(季)'!AE46+'115自留(季)'!AF46</f>
        <v>0</v>
      </c>
      <c r="R49" s="74">
        <f>'115自留(季)'!AG46+'115自留(季)'!AH46</f>
        <v>0</v>
      </c>
      <c r="S49" s="74" t="str">
        <f>+'115自留(季)'!AJ46</f>
        <v/>
      </c>
      <c r="T49" s="74">
        <f t="shared" si="7"/>
        <v>0</v>
      </c>
      <c r="U49" s="81">
        <v>8.455986034E9</v>
      </c>
      <c r="V49" s="75">
        <f t="shared" si="5"/>
        <v>-1</v>
      </c>
      <c r="W49" s="24"/>
      <c r="X49" s="24"/>
      <c r="Y49" s="24"/>
      <c r="Z49" s="24"/>
    </row>
    <row r="50" ht="42.75" hidden="1" customHeight="1">
      <c r="A50" s="85" t="s">
        <v>69</v>
      </c>
      <c r="B50" s="79" t="s">
        <v>97</v>
      </c>
      <c r="C50" s="86" t="s">
        <v>70</v>
      </c>
      <c r="D50" s="74">
        <f>SUM('115自留(季)'!D47:G47)</f>
        <v>0</v>
      </c>
      <c r="E50" s="74">
        <f>SUM('115自留(季)'!H47:K47)</f>
        <v>0</v>
      </c>
      <c r="F50" s="74" t="str">
        <f>+'115自留(季)'!L47</f>
        <v/>
      </c>
      <c r="G50" s="74">
        <f>SUM('115自留(季)'!M47:N47)</f>
        <v>0</v>
      </c>
      <c r="H50" s="74">
        <f>SUM('115自留(季)'!O47:P47)</f>
        <v>0</v>
      </c>
      <c r="I50" s="74">
        <f>SUM('115自留(季)'!Q47:R47)</f>
        <v>0</v>
      </c>
      <c r="J50" s="74" t="str">
        <f>+'115自留(季)'!S47</f>
        <v/>
      </c>
      <c r="K50" s="74" t="str">
        <f>+'115自留(季)'!AI47</f>
        <v/>
      </c>
      <c r="L50" s="74">
        <f>SUM('115自留(季)'!T47:U47)</f>
        <v>0</v>
      </c>
      <c r="M50" s="74" t="str">
        <f>+'115自留(季)'!V47</f>
        <v/>
      </c>
      <c r="N50" s="74">
        <f>SUM('115自留(季)'!X47:Y47)</f>
        <v>0</v>
      </c>
      <c r="O50" s="74">
        <f>+'115自留(季)'!W47+'115自留(季)'!Z47+'115自留(季)'!AC47+'115自留(季)'!AD47</f>
        <v>0</v>
      </c>
      <c r="P50" s="74" t="str">
        <f>+'115自留(季)'!AA47</f>
        <v/>
      </c>
      <c r="Q50" s="74">
        <f>+'115自留(季)'!AB47+'115自留(季)'!AE47+'115自留(季)'!AF47</f>
        <v>0</v>
      </c>
      <c r="R50" s="74">
        <f>'115自留(季)'!AG47+'115自留(季)'!AH47</f>
        <v>0</v>
      </c>
      <c r="S50" s="74" t="str">
        <f>+'115自留(季)'!AJ47</f>
        <v/>
      </c>
      <c r="T50" s="74">
        <f t="shared" si="7"/>
        <v>0</v>
      </c>
      <c r="U50" s="81">
        <v>7.215745507E9</v>
      </c>
      <c r="V50" s="75">
        <f t="shared" si="5"/>
        <v>-1</v>
      </c>
      <c r="W50" s="24"/>
      <c r="X50" s="24"/>
      <c r="Y50" s="24"/>
      <c r="Z50" s="24"/>
    </row>
    <row r="51" ht="42.75" hidden="1" customHeight="1">
      <c r="A51" s="85" t="s">
        <v>71</v>
      </c>
      <c r="B51" s="79" t="s">
        <v>97</v>
      </c>
      <c r="C51" s="86" t="s">
        <v>72</v>
      </c>
      <c r="D51" s="74">
        <f>SUM('115自留(季)'!D48:G48)</f>
        <v>0</v>
      </c>
      <c r="E51" s="74">
        <f>SUM('115自留(季)'!H48:K48)</f>
        <v>0</v>
      </c>
      <c r="F51" s="74" t="str">
        <f>+'115自留(季)'!L48</f>
        <v/>
      </c>
      <c r="G51" s="74">
        <f>SUM('115自留(季)'!M48:N48)</f>
        <v>0</v>
      </c>
      <c r="H51" s="74">
        <f>SUM('115自留(季)'!O48:P48)</f>
        <v>0</v>
      </c>
      <c r="I51" s="74">
        <f>SUM('115自留(季)'!Q48:R48)</f>
        <v>0</v>
      </c>
      <c r="J51" s="74" t="str">
        <f>+'115自留(季)'!S48</f>
        <v/>
      </c>
      <c r="K51" s="74" t="str">
        <f>+'115自留(季)'!AI48</f>
        <v/>
      </c>
      <c r="L51" s="74">
        <f>SUM('115自留(季)'!T48:U48)</f>
        <v>0</v>
      </c>
      <c r="M51" s="74" t="str">
        <f>+'115自留(季)'!V48</f>
        <v/>
      </c>
      <c r="N51" s="74">
        <f>SUM('115自留(季)'!X48:Y48)</f>
        <v>0</v>
      </c>
      <c r="O51" s="74">
        <f>+'115自留(季)'!W48+'115自留(季)'!Z48+'115自留(季)'!AC48+'115自留(季)'!AD48</f>
        <v>0</v>
      </c>
      <c r="P51" s="74" t="str">
        <f>+'115自留(季)'!AA48</f>
        <v/>
      </c>
      <c r="Q51" s="74">
        <f>+'115自留(季)'!AB48+'115自留(季)'!AE48+'115自留(季)'!AF48</f>
        <v>0</v>
      </c>
      <c r="R51" s="74">
        <f>'115自留(季)'!AG48+'115自留(季)'!AH48</f>
        <v>0</v>
      </c>
      <c r="S51" s="74" t="str">
        <f>+'115自留(季)'!AJ48</f>
        <v/>
      </c>
      <c r="T51" s="74">
        <f t="shared" si="7"/>
        <v>0</v>
      </c>
      <c r="U51" s="81">
        <v>9.087558374E9</v>
      </c>
      <c r="V51" s="75">
        <f t="shared" si="5"/>
        <v>-1</v>
      </c>
      <c r="W51" s="24"/>
      <c r="X51" s="24"/>
      <c r="Y51" s="24"/>
      <c r="Z51" s="24"/>
    </row>
    <row r="52" ht="42.75" hidden="1" customHeight="1">
      <c r="A52" s="85" t="s">
        <v>73</v>
      </c>
      <c r="B52" s="79" t="s">
        <v>97</v>
      </c>
      <c r="C52" s="87" t="s">
        <v>74</v>
      </c>
      <c r="D52" s="74">
        <f>SUM('115自留(季)'!D49:G49)</f>
        <v>0</v>
      </c>
      <c r="E52" s="74">
        <f>SUM('115自留(季)'!H49:K49)</f>
        <v>0</v>
      </c>
      <c r="F52" s="74" t="str">
        <f>+'115自留(季)'!L49</f>
        <v/>
      </c>
      <c r="G52" s="74">
        <f>SUM('115自留(季)'!M49:N49)</f>
        <v>0</v>
      </c>
      <c r="H52" s="74">
        <f>SUM('115自留(季)'!O49:P49)</f>
        <v>0</v>
      </c>
      <c r="I52" s="74">
        <f>SUM('115自留(季)'!Q49:R49)</f>
        <v>0</v>
      </c>
      <c r="J52" s="74" t="str">
        <f>+'115自留(季)'!S49</f>
        <v/>
      </c>
      <c r="K52" s="74" t="str">
        <f>+'115自留(季)'!AI49</f>
        <v/>
      </c>
      <c r="L52" s="74">
        <f>SUM('115自留(季)'!T49:U49)</f>
        <v>0</v>
      </c>
      <c r="M52" s="74" t="str">
        <f>+'115自留(季)'!V49</f>
        <v/>
      </c>
      <c r="N52" s="74">
        <f>SUM('115自留(季)'!X49:Y49)</f>
        <v>0</v>
      </c>
      <c r="O52" s="74">
        <f>+'115自留(季)'!W49+'115自留(季)'!Z49+'115自留(季)'!AC49+'115自留(季)'!AD49</f>
        <v>0</v>
      </c>
      <c r="P52" s="74" t="str">
        <f>+'115自留(季)'!AA49</f>
        <v/>
      </c>
      <c r="Q52" s="74">
        <f>+'115自留(季)'!AB49+'115自留(季)'!AE49+'115自留(季)'!AF49</f>
        <v>0</v>
      </c>
      <c r="R52" s="74">
        <f>'115自留(季)'!AG49+'115自留(季)'!AH49</f>
        <v>0</v>
      </c>
      <c r="S52" s="74" t="str">
        <f>+'115自留(季)'!AJ49</f>
        <v/>
      </c>
      <c r="T52" s="74">
        <f t="shared" si="7"/>
        <v>0</v>
      </c>
      <c r="U52" s="81">
        <v>6.688282409E9</v>
      </c>
      <c r="V52" s="75">
        <f t="shared" si="5"/>
        <v>-1</v>
      </c>
      <c r="W52" s="24"/>
      <c r="X52" s="24"/>
      <c r="Y52" s="24"/>
      <c r="Z52" s="24"/>
    </row>
    <row r="53" ht="42.75" hidden="1" customHeight="1">
      <c r="A53" s="85" t="s">
        <v>75</v>
      </c>
      <c r="B53" s="79" t="s">
        <v>97</v>
      </c>
      <c r="C53" s="86" t="s">
        <v>76</v>
      </c>
      <c r="D53" s="74">
        <f>SUM('115自留(季)'!D50:G50)</f>
        <v>0</v>
      </c>
      <c r="E53" s="74">
        <f>SUM('115自留(季)'!H50:K50)</f>
        <v>0</v>
      </c>
      <c r="F53" s="74" t="str">
        <f>+'115自留(季)'!L50</f>
        <v/>
      </c>
      <c r="G53" s="74">
        <f>SUM('115自留(季)'!M50:N50)</f>
        <v>0</v>
      </c>
      <c r="H53" s="74">
        <f>SUM('115自留(季)'!O50:P50)</f>
        <v>0</v>
      </c>
      <c r="I53" s="74">
        <f>SUM('115自留(季)'!Q50:R50)</f>
        <v>0</v>
      </c>
      <c r="J53" s="74" t="str">
        <f>+'115自留(季)'!S50</f>
        <v/>
      </c>
      <c r="K53" s="74" t="str">
        <f>+'115自留(季)'!AI50</f>
        <v/>
      </c>
      <c r="L53" s="74">
        <f>SUM('115自留(季)'!T50:U50)</f>
        <v>0</v>
      </c>
      <c r="M53" s="74" t="str">
        <f>+'115自留(季)'!V50</f>
        <v/>
      </c>
      <c r="N53" s="74">
        <f>SUM('115自留(季)'!X50:Y50)</f>
        <v>0</v>
      </c>
      <c r="O53" s="74">
        <f>+'115自留(季)'!W50+'115自留(季)'!Z50+'115自留(季)'!AC50+'115自留(季)'!AD50</f>
        <v>0</v>
      </c>
      <c r="P53" s="74" t="str">
        <f>+'115自留(季)'!AA50</f>
        <v/>
      </c>
      <c r="Q53" s="74">
        <f>+'115自留(季)'!AB50+'115自留(季)'!AE50+'115自留(季)'!AF50</f>
        <v>0</v>
      </c>
      <c r="R53" s="74">
        <f>'115自留(季)'!AG50+'115自留(季)'!AH50</f>
        <v>0</v>
      </c>
      <c r="S53" s="74" t="str">
        <f>+'115自留(季)'!AJ50</f>
        <v/>
      </c>
      <c r="T53" s="74">
        <f t="shared" si="7"/>
        <v>0</v>
      </c>
      <c r="U53" s="81">
        <v>5.31233821E9</v>
      </c>
      <c r="V53" s="75">
        <f t="shared" si="5"/>
        <v>-1</v>
      </c>
      <c r="W53" s="24"/>
      <c r="X53" s="24"/>
      <c r="Y53" s="24"/>
      <c r="Z53" s="24"/>
    </row>
    <row r="54" ht="42.75" hidden="1" customHeight="1">
      <c r="A54" s="85" t="s">
        <v>77</v>
      </c>
      <c r="B54" s="79" t="s">
        <v>97</v>
      </c>
      <c r="C54" s="86" t="s">
        <v>78</v>
      </c>
      <c r="D54" s="74">
        <f>SUM('115自留(季)'!D51:G51)</f>
        <v>0</v>
      </c>
      <c r="E54" s="74">
        <f>SUM('115自留(季)'!H51:K51)</f>
        <v>0</v>
      </c>
      <c r="F54" s="74" t="str">
        <f>+'115自留(季)'!L51</f>
        <v/>
      </c>
      <c r="G54" s="74">
        <f>SUM('115自留(季)'!M51:N51)</f>
        <v>0</v>
      </c>
      <c r="H54" s="74">
        <f>SUM('115自留(季)'!O51:P51)</f>
        <v>0</v>
      </c>
      <c r="I54" s="74">
        <f>SUM('115自留(季)'!Q51:R51)</f>
        <v>0</v>
      </c>
      <c r="J54" s="74" t="str">
        <f>+'115自留(季)'!S51</f>
        <v/>
      </c>
      <c r="K54" s="74" t="str">
        <f>+'115自留(季)'!AI51</f>
        <v/>
      </c>
      <c r="L54" s="74">
        <f>SUM('115自留(季)'!T51:U51)</f>
        <v>0</v>
      </c>
      <c r="M54" s="74" t="str">
        <f>+'115自留(季)'!V51</f>
        <v/>
      </c>
      <c r="N54" s="74">
        <f>SUM('115自留(季)'!X51:Y51)</f>
        <v>0</v>
      </c>
      <c r="O54" s="74">
        <f>+'115自留(季)'!W51+'115自留(季)'!Z51+'115自留(季)'!AC51+'115自留(季)'!AD51</f>
        <v>0</v>
      </c>
      <c r="P54" s="74" t="str">
        <f>+'115自留(季)'!AA51</f>
        <v/>
      </c>
      <c r="Q54" s="74">
        <f>+'115自留(季)'!AB51+'115自留(季)'!AE51+'115自留(季)'!AF51</f>
        <v>0</v>
      </c>
      <c r="R54" s="74">
        <f>'115自留(季)'!AG51+'115自留(季)'!AH51</f>
        <v>0</v>
      </c>
      <c r="S54" s="74" t="str">
        <f>+'115自留(季)'!AJ51</f>
        <v/>
      </c>
      <c r="T54" s="74">
        <f t="shared" si="7"/>
        <v>0</v>
      </c>
      <c r="U54" s="81">
        <v>7.839517793E9</v>
      </c>
      <c r="V54" s="75">
        <f t="shared" si="5"/>
        <v>-1</v>
      </c>
      <c r="W54" s="24"/>
      <c r="X54" s="24"/>
      <c r="Y54" s="24"/>
      <c r="Z54" s="24"/>
    </row>
    <row r="55" ht="42.75" hidden="1" customHeight="1">
      <c r="A55" s="85" t="s">
        <v>79</v>
      </c>
      <c r="B55" s="79" t="s">
        <v>97</v>
      </c>
      <c r="C55" s="86" t="s">
        <v>80</v>
      </c>
      <c r="D55" s="74">
        <f>SUM('115自留(季)'!D52:G52)</f>
        <v>0</v>
      </c>
      <c r="E55" s="74">
        <f>SUM('115自留(季)'!H52:K52)</f>
        <v>0</v>
      </c>
      <c r="F55" s="74" t="str">
        <f>+'115自留(季)'!L52</f>
        <v/>
      </c>
      <c r="G55" s="74">
        <f>SUM('115自留(季)'!M52:N52)</f>
        <v>0</v>
      </c>
      <c r="H55" s="74">
        <f>SUM('115自留(季)'!O52:P52)</f>
        <v>0</v>
      </c>
      <c r="I55" s="74">
        <f>SUM('115自留(季)'!Q52:R52)</f>
        <v>0</v>
      </c>
      <c r="J55" s="74" t="str">
        <f>+'115自留(季)'!S52</f>
        <v/>
      </c>
      <c r="K55" s="74" t="str">
        <f>+'115自留(季)'!AI52</f>
        <v/>
      </c>
      <c r="L55" s="74">
        <f>SUM('115自留(季)'!T52:U52)</f>
        <v>0</v>
      </c>
      <c r="M55" s="74" t="str">
        <f>+'115自留(季)'!V52</f>
        <v/>
      </c>
      <c r="N55" s="74">
        <f>SUM('115自留(季)'!X52:Y52)</f>
        <v>0</v>
      </c>
      <c r="O55" s="74">
        <f>+'115自留(季)'!W52+'115自留(季)'!Z52+'115自留(季)'!AC52+'115自留(季)'!AD52</f>
        <v>0</v>
      </c>
      <c r="P55" s="74" t="str">
        <f>+'115自留(季)'!AA52</f>
        <v/>
      </c>
      <c r="Q55" s="74">
        <f>+'115自留(季)'!AB52+'115自留(季)'!AE52+'115自留(季)'!AF52</f>
        <v>0</v>
      </c>
      <c r="R55" s="74">
        <f>'115自留(季)'!AG52+'115自留(季)'!AH52</f>
        <v>0</v>
      </c>
      <c r="S55" s="74" t="str">
        <f>+'115自留(季)'!AJ52</f>
        <v/>
      </c>
      <c r="T55" s="74">
        <f t="shared" si="7"/>
        <v>0</v>
      </c>
      <c r="U55" s="81">
        <v>1.5030433719E10</v>
      </c>
      <c r="V55" s="75">
        <f t="shared" si="5"/>
        <v>-1</v>
      </c>
      <c r="W55" s="24"/>
      <c r="X55" s="24"/>
      <c r="Y55" s="24"/>
      <c r="Z55" s="24"/>
    </row>
    <row r="56" ht="42.75" hidden="1" customHeight="1">
      <c r="A56" s="85" t="s">
        <v>81</v>
      </c>
      <c r="B56" s="79" t="s">
        <v>97</v>
      </c>
      <c r="C56" s="86" t="s">
        <v>82</v>
      </c>
      <c r="D56" s="74">
        <f>SUM('115自留(季)'!D53:G53)</f>
        <v>0</v>
      </c>
      <c r="E56" s="74">
        <f>SUM('115自留(季)'!H53:K53)</f>
        <v>0</v>
      </c>
      <c r="F56" s="74" t="str">
        <f>+'115自留(季)'!L53</f>
        <v/>
      </c>
      <c r="G56" s="74">
        <f>SUM('115自留(季)'!M53:N53)</f>
        <v>0</v>
      </c>
      <c r="H56" s="74">
        <f>SUM('115自留(季)'!O53:P53)</f>
        <v>0</v>
      </c>
      <c r="I56" s="74">
        <f>SUM('115自留(季)'!Q53:R53)</f>
        <v>0</v>
      </c>
      <c r="J56" s="74" t="str">
        <f>+'115自留(季)'!S53</f>
        <v/>
      </c>
      <c r="K56" s="74" t="str">
        <f>+'115自留(季)'!AI53</f>
        <v/>
      </c>
      <c r="L56" s="74">
        <f>SUM('115自留(季)'!T53:U53)</f>
        <v>0</v>
      </c>
      <c r="M56" s="74" t="str">
        <f>+'115自留(季)'!V53</f>
        <v/>
      </c>
      <c r="N56" s="74">
        <f>SUM('115自留(季)'!X53:Y53)</f>
        <v>0</v>
      </c>
      <c r="O56" s="74">
        <f>+'115自留(季)'!W53+'115自留(季)'!Z53+'115自留(季)'!AC53+'115自留(季)'!AD53</f>
        <v>0</v>
      </c>
      <c r="P56" s="74" t="str">
        <f>+'115自留(季)'!AA53</f>
        <v/>
      </c>
      <c r="Q56" s="74">
        <f>+'115自留(季)'!AB53+'115自留(季)'!AE53+'115自留(季)'!AF53</f>
        <v>0</v>
      </c>
      <c r="R56" s="74">
        <f>'115自留(季)'!AG53+'115自留(季)'!AH53</f>
        <v>0</v>
      </c>
      <c r="S56" s="74" t="str">
        <f>+'115自留(季)'!AJ53</f>
        <v/>
      </c>
      <c r="T56" s="74">
        <f t="shared" si="7"/>
        <v>0</v>
      </c>
      <c r="U56" s="81">
        <v>8.177095249E9</v>
      </c>
      <c r="V56" s="75">
        <f t="shared" si="5"/>
        <v>-1</v>
      </c>
      <c r="W56" s="24"/>
      <c r="X56" s="24"/>
      <c r="Y56" s="24"/>
      <c r="Z56" s="24"/>
    </row>
    <row r="57" ht="42.75" hidden="1" customHeight="1">
      <c r="A57" s="85" t="s">
        <v>83</v>
      </c>
      <c r="B57" s="79" t="s">
        <v>97</v>
      </c>
      <c r="C57" s="86" t="s">
        <v>84</v>
      </c>
      <c r="D57" s="74">
        <f>SUM('115自留(季)'!D54:G54)</f>
        <v>0</v>
      </c>
      <c r="E57" s="74">
        <f>SUM('115自留(季)'!H54:K54)</f>
        <v>0</v>
      </c>
      <c r="F57" s="74" t="str">
        <f>+'115自留(季)'!L54</f>
        <v/>
      </c>
      <c r="G57" s="74">
        <f>SUM('115自留(季)'!M54:N54)</f>
        <v>0</v>
      </c>
      <c r="H57" s="74">
        <f>SUM('115自留(季)'!O54:P54)</f>
        <v>0</v>
      </c>
      <c r="I57" s="74">
        <f>SUM('115自留(季)'!Q54:R54)</f>
        <v>0</v>
      </c>
      <c r="J57" s="74" t="str">
        <f>+'115自留(季)'!S54</f>
        <v/>
      </c>
      <c r="K57" s="74" t="str">
        <f>+'115自留(季)'!AI54</f>
        <v/>
      </c>
      <c r="L57" s="74">
        <f>SUM('115自留(季)'!T54:U54)</f>
        <v>0</v>
      </c>
      <c r="M57" s="74" t="str">
        <f>+'115自留(季)'!V54</f>
        <v/>
      </c>
      <c r="N57" s="74">
        <f>SUM('115自留(季)'!X54:Y54)</f>
        <v>0</v>
      </c>
      <c r="O57" s="74">
        <f>+'115自留(季)'!W54+'115自留(季)'!Z54+'115自留(季)'!AC54+'115自留(季)'!AD54</f>
        <v>0</v>
      </c>
      <c r="P57" s="74" t="str">
        <f>+'115自留(季)'!AA54</f>
        <v/>
      </c>
      <c r="Q57" s="74">
        <f>+'115自留(季)'!AB54+'115自留(季)'!AE54+'115自留(季)'!AF54</f>
        <v>0</v>
      </c>
      <c r="R57" s="74">
        <f>'115自留(季)'!AG54+'115自留(季)'!AH54</f>
        <v>0</v>
      </c>
      <c r="S57" s="74" t="str">
        <f>+'115自留(季)'!AJ54</f>
        <v/>
      </c>
      <c r="T57" s="74">
        <f t="shared" si="7"/>
        <v>0</v>
      </c>
      <c r="U57" s="81">
        <v>2.0771602878E10</v>
      </c>
      <c r="V57" s="75">
        <f t="shared" si="5"/>
        <v>-1</v>
      </c>
      <c r="W57" s="24"/>
      <c r="X57" s="24"/>
      <c r="Y57" s="24"/>
      <c r="Z57" s="24"/>
    </row>
    <row r="58" ht="42.75" hidden="1" customHeight="1">
      <c r="A58" s="85" t="s">
        <v>85</v>
      </c>
      <c r="B58" s="79" t="s">
        <v>97</v>
      </c>
      <c r="C58" s="86" t="s">
        <v>86</v>
      </c>
      <c r="D58" s="74">
        <f>SUM('115自留(季)'!D55:G55)</f>
        <v>0</v>
      </c>
      <c r="E58" s="74">
        <f>SUM('115自留(季)'!H55:K55)</f>
        <v>0</v>
      </c>
      <c r="F58" s="74" t="str">
        <f>+'115自留(季)'!L55</f>
        <v/>
      </c>
      <c r="G58" s="74">
        <f>SUM('115自留(季)'!M55:N55)</f>
        <v>0</v>
      </c>
      <c r="H58" s="74">
        <f>SUM('115自留(季)'!O55:P55)</f>
        <v>0</v>
      </c>
      <c r="I58" s="74">
        <f>SUM('115自留(季)'!Q55:R55)</f>
        <v>0</v>
      </c>
      <c r="J58" s="74" t="str">
        <f>+'115自留(季)'!S55</f>
        <v/>
      </c>
      <c r="K58" s="74" t="str">
        <f>+'115自留(季)'!AI55</f>
        <v/>
      </c>
      <c r="L58" s="74">
        <f>SUM('115自留(季)'!T55:U55)</f>
        <v>0</v>
      </c>
      <c r="M58" s="74" t="str">
        <f>+'115自留(季)'!V55</f>
        <v/>
      </c>
      <c r="N58" s="74">
        <f>SUM('115自留(季)'!X55:Y55)</f>
        <v>0</v>
      </c>
      <c r="O58" s="74">
        <f>+'115自留(季)'!W55+'115自留(季)'!Z55+'115自留(季)'!AC55+'115自留(季)'!AD55</f>
        <v>0</v>
      </c>
      <c r="P58" s="74" t="str">
        <f>+'115自留(季)'!AA55</f>
        <v/>
      </c>
      <c r="Q58" s="74">
        <f>+'115自留(季)'!AB55+'115自留(季)'!AE55+'115自留(季)'!AF55</f>
        <v>0</v>
      </c>
      <c r="R58" s="74">
        <f>'115自留(季)'!AG55+'115自留(季)'!AH55</f>
        <v>0</v>
      </c>
      <c r="S58" s="74" t="str">
        <f>+'115自留(季)'!AJ55</f>
        <v/>
      </c>
      <c r="T58" s="74">
        <f t="shared" si="7"/>
        <v>0</v>
      </c>
      <c r="U58" s="81">
        <v>1.3122643052E10</v>
      </c>
      <c r="V58" s="75">
        <f t="shared" si="5"/>
        <v>-1</v>
      </c>
      <c r="W58" s="24"/>
      <c r="X58" s="24"/>
      <c r="Y58" s="24"/>
      <c r="Z58" s="24"/>
    </row>
    <row r="59" ht="42.75" hidden="1" customHeight="1">
      <c r="A59" s="85">
        <v>18.0</v>
      </c>
      <c r="B59" s="79" t="s">
        <v>97</v>
      </c>
      <c r="C59" s="86" t="s">
        <v>87</v>
      </c>
      <c r="D59" s="74">
        <f>SUM('115自留(季)'!D56:G56)</f>
        <v>0</v>
      </c>
      <c r="E59" s="74">
        <f>SUM('115自留(季)'!H56:K56)</f>
        <v>0</v>
      </c>
      <c r="F59" s="74" t="str">
        <f>+'115自留(季)'!L56</f>
        <v/>
      </c>
      <c r="G59" s="74">
        <f>SUM('115自留(季)'!M56:N56)</f>
        <v>0</v>
      </c>
      <c r="H59" s="74">
        <f>SUM('115自留(季)'!O56:P56)</f>
        <v>0</v>
      </c>
      <c r="I59" s="74">
        <f>SUM('115自留(季)'!Q56:R56)</f>
        <v>0</v>
      </c>
      <c r="J59" s="74" t="str">
        <f>+'115自留(季)'!S56</f>
        <v/>
      </c>
      <c r="K59" s="74" t="str">
        <f>+'115自留(季)'!AI56</f>
        <v/>
      </c>
      <c r="L59" s="74">
        <f>SUM('115自留(季)'!T56:U56)</f>
        <v>0</v>
      </c>
      <c r="M59" s="74" t="str">
        <f>+'115自留(季)'!V56</f>
        <v/>
      </c>
      <c r="N59" s="74">
        <f>SUM('115自留(季)'!X56:Y56)</f>
        <v>0</v>
      </c>
      <c r="O59" s="74">
        <f>+'115自留(季)'!W56+'115自留(季)'!Z56+'115自留(季)'!AC56+'115自留(季)'!AD56</f>
        <v>0</v>
      </c>
      <c r="P59" s="74" t="str">
        <f>+'115自留(季)'!AA56</f>
        <v/>
      </c>
      <c r="Q59" s="74">
        <f>+'115自留(季)'!AB56+'115自留(季)'!AE56+'115自留(季)'!AF56</f>
        <v>0</v>
      </c>
      <c r="R59" s="74">
        <f>'115自留(季)'!AG56+'115自留(季)'!AH56</f>
        <v>0</v>
      </c>
      <c r="S59" s="74" t="str">
        <f>+'115自留(季)'!AJ56</f>
        <v/>
      </c>
      <c r="T59" s="74">
        <f t="shared" si="7"/>
        <v>0</v>
      </c>
      <c r="U59" s="81">
        <v>1.817585765E9</v>
      </c>
      <c r="V59" s="75">
        <f t="shared" si="5"/>
        <v>-1</v>
      </c>
      <c r="W59" s="24"/>
      <c r="X59" s="24"/>
      <c r="Y59" s="24"/>
      <c r="Z59" s="24"/>
    </row>
    <row r="60" ht="36.0" hidden="1" customHeight="1">
      <c r="A60" s="20">
        <v>28.0</v>
      </c>
      <c r="B60" s="79" t="s">
        <v>97</v>
      </c>
      <c r="C60" s="86" t="s">
        <v>88</v>
      </c>
      <c r="D60" s="74">
        <f>SUM('115自留(季)'!D57:G57)</f>
        <v>0</v>
      </c>
      <c r="E60" s="74">
        <f>SUM('115自留(季)'!H57:K57)</f>
        <v>0</v>
      </c>
      <c r="F60" s="74" t="str">
        <f>+'115自留(季)'!L57</f>
        <v/>
      </c>
      <c r="G60" s="74">
        <f>SUM('115自留(季)'!M57:N57)</f>
        <v>0</v>
      </c>
      <c r="H60" s="74">
        <f>SUM('115自留(季)'!O57:P57)</f>
        <v>0</v>
      </c>
      <c r="I60" s="74">
        <f>SUM('115自留(季)'!Q57:R57)</f>
        <v>0</v>
      </c>
      <c r="J60" s="74" t="str">
        <f>+'115自留(季)'!S57</f>
        <v/>
      </c>
      <c r="K60" s="74" t="str">
        <f>+'115自留(季)'!AI57</f>
        <v/>
      </c>
      <c r="L60" s="74">
        <f>SUM('115自留(季)'!T57:U57)</f>
        <v>0</v>
      </c>
      <c r="M60" s="74" t="str">
        <f>+'115自留(季)'!V57</f>
        <v/>
      </c>
      <c r="N60" s="74">
        <f>SUM('115自留(季)'!X57:Y57)</f>
        <v>0</v>
      </c>
      <c r="O60" s="74">
        <f>+'115自留(季)'!W57+'115自留(季)'!Z57+'115自留(季)'!AC57+'115自留(季)'!AD57</f>
        <v>0</v>
      </c>
      <c r="P60" s="74" t="str">
        <f>+'115自留(季)'!AA57</f>
        <v/>
      </c>
      <c r="Q60" s="74">
        <f>+'115自留(季)'!AB57+'115自留(季)'!AE57+'115自留(季)'!AF57</f>
        <v>0</v>
      </c>
      <c r="R60" s="74">
        <f>'115自留(季)'!AG57+'115自留(季)'!AH57</f>
        <v>0</v>
      </c>
      <c r="S60" s="74" t="str">
        <f>+'115自留(季)'!AJ57</f>
        <v/>
      </c>
      <c r="T60" s="74">
        <f t="shared" si="7"/>
        <v>0</v>
      </c>
      <c r="U60" s="81">
        <v>2.3610369E7</v>
      </c>
      <c r="V60" s="75">
        <f t="shared" si="5"/>
        <v>-1</v>
      </c>
      <c r="W60" s="24"/>
      <c r="X60" s="24"/>
      <c r="Y60" s="24"/>
      <c r="Z60" s="24"/>
    </row>
    <row r="61" ht="42.75" hidden="1" customHeight="1">
      <c r="A61" s="85">
        <v>29.0</v>
      </c>
      <c r="B61" s="79" t="s">
        <v>97</v>
      </c>
      <c r="C61" s="86" t="s">
        <v>89</v>
      </c>
      <c r="D61" s="74">
        <f>SUM('115自留(季)'!D58:G58)</f>
        <v>0</v>
      </c>
      <c r="E61" s="74">
        <f>SUM('115自留(季)'!H58:K58)</f>
        <v>0</v>
      </c>
      <c r="F61" s="74" t="str">
        <f>+'115自留(季)'!L58</f>
        <v/>
      </c>
      <c r="G61" s="74">
        <f>SUM('115自留(季)'!M58:N58)</f>
        <v>0</v>
      </c>
      <c r="H61" s="74">
        <f>SUM('115自留(季)'!O58:P58)</f>
        <v>0</v>
      </c>
      <c r="I61" s="74">
        <f>SUM('115自留(季)'!Q58:R58)</f>
        <v>0</v>
      </c>
      <c r="J61" s="74" t="str">
        <f>+'115自留(季)'!S58</f>
        <v/>
      </c>
      <c r="K61" s="74" t="str">
        <f>+'115自留(季)'!AI58</f>
        <v/>
      </c>
      <c r="L61" s="74">
        <f>SUM('115自留(季)'!T58:U58)</f>
        <v>0</v>
      </c>
      <c r="M61" s="74" t="str">
        <f>+'115自留(季)'!V58</f>
        <v/>
      </c>
      <c r="N61" s="74">
        <f>SUM('115自留(季)'!X58:Y58)</f>
        <v>0</v>
      </c>
      <c r="O61" s="74">
        <f>+'115自留(季)'!W58+'115自留(季)'!Z58+'115自留(季)'!AC58+'115自留(季)'!AD58</f>
        <v>0</v>
      </c>
      <c r="P61" s="74" t="str">
        <f>+'115自留(季)'!AA58</f>
        <v/>
      </c>
      <c r="Q61" s="74">
        <f>+'115自留(季)'!AB58+'115自留(季)'!AE58+'115自留(季)'!AF58</f>
        <v>0</v>
      </c>
      <c r="R61" s="74">
        <f>'115自留(季)'!AG58+'115自留(季)'!AH58</f>
        <v>0</v>
      </c>
      <c r="S61" s="74" t="str">
        <f>+'115自留(季)'!AJ58</f>
        <v/>
      </c>
      <c r="T61" s="74">
        <f t="shared" si="7"/>
        <v>0</v>
      </c>
      <c r="U61" s="81">
        <v>4.38768359E8</v>
      </c>
      <c r="V61" s="75">
        <f t="shared" si="5"/>
        <v>-1</v>
      </c>
      <c r="W61" s="24"/>
      <c r="X61" s="24"/>
      <c r="Y61" s="24"/>
      <c r="Z61" s="24"/>
    </row>
    <row r="62" ht="42.75" hidden="1" customHeight="1">
      <c r="A62" s="85" t="s">
        <v>90</v>
      </c>
      <c r="B62" s="79" t="s">
        <v>97</v>
      </c>
      <c r="C62" s="86" t="s">
        <v>91</v>
      </c>
      <c r="D62" s="74">
        <f>SUM('115自留(季)'!D59:G59)</f>
        <v>0</v>
      </c>
      <c r="E62" s="74">
        <f>SUM('115自留(季)'!H59:K59)</f>
        <v>0</v>
      </c>
      <c r="F62" s="74" t="str">
        <f>+'115自留(季)'!L59</f>
        <v/>
      </c>
      <c r="G62" s="74">
        <f>SUM('115自留(季)'!M59:N59)</f>
        <v>0</v>
      </c>
      <c r="H62" s="74">
        <f>SUM('115自留(季)'!O59:P59)</f>
        <v>0</v>
      </c>
      <c r="I62" s="74">
        <f>SUM('115自留(季)'!Q59:R59)</f>
        <v>0</v>
      </c>
      <c r="J62" s="74" t="str">
        <f>+'115自留(季)'!S59</f>
        <v/>
      </c>
      <c r="K62" s="74" t="str">
        <f>+'115自留(季)'!AI59</f>
        <v/>
      </c>
      <c r="L62" s="74">
        <f>SUM('115自留(季)'!T59:U59)</f>
        <v>0</v>
      </c>
      <c r="M62" s="74" t="str">
        <f>+'115自留(季)'!V59</f>
        <v/>
      </c>
      <c r="N62" s="74">
        <f>SUM('115自留(季)'!X59:Y59)</f>
        <v>0</v>
      </c>
      <c r="O62" s="74">
        <f>+'115自留(季)'!W59+'115自留(季)'!Z59+'115自留(季)'!AC59+'115自留(季)'!AD59</f>
        <v>0</v>
      </c>
      <c r="P62" s="74" t="str">
        <f>+'115自留(季)'!AA59</f>
        <v/>
      </c>
      <c r="Q62" s="74">
        <f>+'115自留(季)'!AB59+'115自留(季)'!AE59+'115自留(季)'!AF59</f>
        <v>0</v>
      </c>
      <c r="R62" s="74">
        <f>'115自留(季)'!AG59+'115自留(季)'!AH59</f>
        <v>0</v>
      </c>
      <c r="S62" s="74" t="str">
        <f>+'115自留(季)'!AJ59</f>
        <v/>
      </c>
      <c r="T62" s="74">
        <f t="shared" si="7"/>
        <v>0</v>
      </c>
      <c r="U62" s="81">
        <v>3.432261114E9</v>
      </c>
      <c r="V62" s="75">
        <f t="shared" si="5"/>
        <v>-1</v>
      </c>
      <c r="W62" s="24"/>
      <c r="X62" s="24"/>
      <c r="Y62" s="24"/>
      <c r="Z62" s="24"/>
    </row>
    <row r="63" ht="42.75" hidden="1" customHeight="1">
      <c r="A63" s="85" t="s">
        <v>96</v>
      </c>
      <c r="B63" s="79" t="s">
        <v>97</v>
      </c>
      <c r="C63" s="86" t="s">
        <v>92</v>
      </c>
      <c r="D63" s="74">
        <f>SUM('115自留(季)'!D60:G60)</f>
        <v>0</v>
      </c>
      <c r="E63" s="74">
        <f>SUM('115自留(季)'!H60:K60)</f>
        <v>0</v>
      </c>
      <c r="F63" s="74" t="str">
        <f>+'115自留(季)'!L60</f>
        <v/>
      </c>
      <c r="G63" s="74">
        <f>SUM('115自留(季)'!M60:N60)</f>
        <v>0</v>
      </c>
      <c r="H63" s="74">
        <f>SUM('115自留(季)'!O60:P60)</f>
        <v>0</v>
      </c>
      <c r="I63" s="74">
        <f>SUM('115自留(季)'!Q60:R60)</f>
        <v>0</v>
      </c>
      <c r="J63" s="74" t="str">
        <f>+'115自留(季)'!S60</f>
        <v/>
      </c>
      <c r="K63" s="74" t="str">
        <f>+'115自留(季)'!AI60</f>
        <v/>
      </c>
      <c r="L63" s="74">
        <f>SUM('115自留(季)'!T60:U60)</f>
        <v>0</v>
      </c>
      <c r="M63" s="74" t="str">
        <f>+'115自留(季)'!V60</f>
        <v/>
      </c>
      <c r="N63" s="74">
        <f>SUM('115自留(季)'!X60:Y60)</f>
        <v>0</v>
      </c>
      <c r="O63" s="74">
        <f>+'115自留(季)'!W60+'115自留(季)'!Z60+'115自留(季)'!AC60+'115自留(季)'!AD60</f>
        <v>0</v>
      </c>
      <c r="P63" s="74" t="str">
        <f>+'115自留(季)'!AA60</f>
        <v/>
      </c>
      <c r="Q63" s="74">
        <f>+'115自留(季)'!AB60+'115自留(季)'!AE60+'115自留(季)'!AF60</f>
        <v>0</v>
      </c>
      <c r="R63" s="74">
        <f>'115自留(季)'!AG60+'115自留(季)'!AH60</f>
        <v>0</v>
      </c>
      <c r="S63" s="74" t="str">
        <f>+'115自留(季)'!AJ60</f>
        <v/>
      </c>
      <c r="T63" s="74">
        <f t="shared" si="7"/>
        <v>0</v>
      </c>
      <c r="U63" s="81">
        <v>6.8503578E7</v>
      </c>
      <c r="V63" s="75">
        <f t="shared" si="5"/>
        <v>-1</v>
      </c>
      <c r="W63" s="24"/>
      <c r="X63" s="24"/>
      <c r="Y63" s="24"/>
      <c r="Z63" s="24"/>
    </row>
    <row r="64" ht="42.75" hidden="1" customHeight="1">
      <c r="A64" s="85">
        <v>47.0</v>
      </c>
      <c r="B64" s="79" t="s">
        <v>97</v>
      </c>
      <c r="C64" s="86" t="s">
        <v>93</v>
      </c>
      <c r="D64" s="74">
        <f>SUM('115自留(季)'!D61:G61)</f>
        <v>0</v>
      </c>
      <c r="E64" s="74">
        <f>SUM('115自留(季)'!H61:K61)</f>
        <v>0</v>
      </c>
      <c r="F64" s="74" t="str">
        <f>+'115自留(季)'!L61</f>
        <v/>
      </c>
      <c r="G64" s="74">
        <f>SUM('115自留(季)'!M61:N61)</f>
        <v>0</v>
      </c>
      <c r="H64" s="74">
        <f>SUM('115自留(季)'!O61:P61)</f>
        <v>0</v>
      </c>
      <c r="I64" s="74">
        <f>SUM('115自留(季)'!Q61:R61)</f>
        <v>0</v>
      </c>
      <c r="J64" s="74" t="str">
        <f>+'115自留(季)'!S61</f>
        <v/>
      </c>
      <c r="K64" s="74" t="str">
        <f>+'115自留(季)'!AI61</f>
        <v/>
      </c>
      <c r="L64" s="74">
        <f>SUM('115自留(季)'!T61:U61)</f>
        <v>0</v>
      </c>
      <c r="M64" s="74" t="str">
        <f>+'115自留(季)'!V61</f>
        <v/>
      </c>
      <c r="N64" s="74">
        <f>SUM('115自留(季)'!X61:Y61)</f>
        <v>0</v>
      </c>
      <c r="O64" s="74">
        <f>+'115自留(季)'!W61+'115自留(季)'!Z61+'115自留(季)'!AC61+'115自留(季)'!AD61</f>
        <v>0</v>
      </c>
      <c r="P64" s="74" t="str">
        <f>+'115自留(季)'!AA61</f>
        <v/>
      </c>
      <c r="Q64" s="74">
        <f>+'115自留(季)'!AB61+'115自留(季)'!AE61+'115自留(季)'!AF61</f>
        <v>0</v>
      </c>
      <c r="R64" s="74">
        <f>'115自留(季)'!AG61+'115自留(季)'!AH61</f>
        <v>0</v>
      </c>
      <c r="S64" s="74" t="str">
        <f>+'115自留(季)'!AJ61</f>
        <v/>
      </c>
      <c r="T64" s="74">
        <f t="shared" si="7"/>
        <v>0</v>
      </c>
      <c r="U64" s="81">
        <v>3.5911784E7</v>
      </c>
      <c r="V64" s="75">
        <f t="shared" si="5"/>
        <v>-1</v>
      </c>
      <c r="W64" s="24"/>
      <c r="X64" s="24"/>
      <c r="Y64" s="24"/>
      <c r="Z64" s="24"/>
    </row>
    <row r="65" ht="34.5" hidden="1" customHeight="1">
      <c r="A65" s="85"/>
      <c r="B65" s="79" t="s">
        <v>97</v>
      </c>
      <c r="C65" s="86" t="s">
        <v>94</v>
      </c>
      <c r="D65" s="74">
        <f t="shared" ref="D65:U65" si="8">SUBTOTAL(9,D46:D64)</f>
        <v>0</v>
      </c>
      <c r="E65" s="74">
        <f t="shared" si="8"/>
        <v>0</v>
      </c>
      <c r="F65" s="74">
        <f t="shared" si="8"/>
        <v>0</v>
      </c>
      <c r="G65" s="74">
        <f t="shared" si="8"/>
        <v>0</v>
      </c>
      <c r="H65" s="74">
        <f t="shared" si="8"/>
        <v>0</v>
      </c>
      <c r="I65" s="74">
        <f t="shared" si="8"/>
        <v>0</v>
      </c>
      <c r="J65" s="74">
        <f t="shared" si="8"/>
        <v>0</v>
      </c>
      <c r="K65" s="74">
        <f t="shared" si="8"/>
        <v>0</v>
      </c>
      <c r="L65" s="74">
        <f t="shared" si="8"/>
        <v>0</v>
      </c>
      <c r="M65" s="74">
        <f t="shared" si="8"/>
        <v>0</v>
      </c>
      <c r="N65" s="74">
        <f t="shared" si="8"/>
        <v>0</v>
      </c>
      <c r="O65" s="74">
        <f t="shared" si="8"/>
        <v>0</v>
      </c>
      <c r="P65" s="74">
        <f t="shared" si="8"/>
        <v>0</v>
      </c>
      <c r="Q65" s="74">
        <f t="shared" si="8"/>
        <v>0</v>
      </c>
      <c r="R65" s="74">
        <f t="shared" si="8"/>
        <v>0</v>
      </c>
      <c r="S65" s="74">
        <f t="shared" si="8"/>
        <v>0</v>
      </c>
      <c r="T65" s="74">
        <f t="shared" si="8"/>
        <v>0</v>
      </c>
      <c r="U65" s="74">
        <f t="shared" si="8"/>
        <v>0</v>
      </c>
      <c r="V65" s="75" t="str">
        <f t="shared" si="5"/>
        <v/>
      </c>
      <c r="W65" s="24"/>
      <c r="X65" s="24"/>
      <c r="Y65" s="24"/>
      <c r="Z65" s="24"/>
    </row>
    <row r="66" ht="42.75" hidden="1" customHeight="1">
      <c r="A66" s="85" t="s">
        <v>60</v>
      </c>
      <c r="B66" s="88" t="s">
        <v>98</v>
      </c>
      <c r="C66" s="80" t="s">
        <v>62</v>
      </c>
      <c r="D66" s="74">
        <f>SUM('115自留(季)'!D63:G63)</f>
        <v>0</v>
      </c>
      <c r="E66" s="74">
        <f>SUM('115自留(季)'!H63:K63)</f>
        <v>0</v>
      </c>
      <c r="F66" s="74" t="str">
        <f>+'115自留(季)'!L63</f>
        <v/>
      </c>
      <c r="G66" s="74">
        <f>SUM('115自留(季)'!M63:N63)</f>
        <v>0</v>
      </c>
      <c r="H66" s="74">
        <f>SUM('115自留(季)'!O63:P63)</f>
        <v>0</v>
      </c>
      <c r="I66" s="74">
        <f>SUM('115自留(季)'!Q63:R63)</f>
        <v>0</v>
      </c>
      <c r="J66" s="74" t="str">
        <f>+'115自留(季)'!S63</f>
        <v/>
      </c>
      <c r="K66" s="74" t="str">
        <f>+'115自留(季)'!AI63</f>
        <v/>
      </c>
      <c r="L66" s="74">
        <f>SUM('115自留(季)'!T63:U63)</f>
        <v>0</v>
      </c>
      <c r="M66" s="74" t="str">
        <f>+'115自留(季)'!V63</f>
        <v/>
      </c>
      <c r="N66" s="74">
        <f>SUM('115自留(季)'!X63:Y63)</f>
        <v>0</v>
      </c>
      <c r="O66" s="74">
        <f>+'115自留(季)'!W63+'115自留(季)'!Z63+'115自留(季)'!AC63+'115自留(季)'!AD63</f>
        <v>0</v>
      </c>
      <c r="P66" s="74" t="str">
        <f>+'115自留(季)'!AA63</f>
        <v/>
      </c>
      <c r="Q66" s="74">
        <f>+'115自留(季)'!AB63+'115自留(季)'!AE63+'115自留(季)'!AF63</f>
        <v>0</v>
      </c>
      <c r="R66" s="74">
        <f>'115自留(季)'!AG63+'115自留(季)'!AH63</f>
        <v>0</v>
      </c>
      <c r="S66" s="74" t="str">
        <f>+'115自留(季)'!AJ63</f>
        <v/>
      </c>
      <c r="T66" s="74">
        <f t="shared" ref="T66:T84" si="9">SUM(D66:S66)</f>
        <v>0</v>
      </c>
      <c r="U66" s="81">
        <v>6.479350017E9</v>
      </c>
      <c r="V66" s="75">
        <f t="shared" si="5"/>
        <v>-1</v>
      </c>
      <c r="W66" s="24"/>
      <c r="X66" s="24"/>
      <c r="Y66" s="24"/>
      <c r="Z66" s="24"/>
    </row>
    <row r="67" ht="42.75" hidden="1" customHeight="1">
      <c r="A67" s="85" t="s">
        <v>63</v>
      </c>
      <c r="B67" s="88" t="s">
        <v>98</v>
      </c>
      <c r="C67" s="80" t="s">
        <v>64</v>
      </c>
      <c r="D67" s="74">
        <f>SUM('115自留(季)'!D64:G64)</f>
        <v>0</v>
      </c>
      <c r="E67" s="74">
        <f>SUM('115自留(季)'!H64:K64)</f>
        <v>0</v>
      </c>
      <c r="F67" s="74" t="str">
        <f>+'115自留(季)'!L64</f>
        <v/>
      </c>
      <c r="G67" s="74">
        <f>SUM('115自留(季)'!M64:N64)</f>
        <v>0</v>
      </c>
      <c r="H67" s="74">
        <f>SUM('115自留(季)'!O64:P64)</f>
        <v>0</v>
      </c>
      <c r="I67" s="74">
        <f>SUM('115自留(季)'!Q64:R64)</f>
        <v>0</v>
      </c>
      <c r="J67" s="74" t="str">
        <f>+'115自留(季)'!S64</f>
        <v/>
      </c>
      <c r="K67" s="74" t="str">
        <f>+'115自留(季)'!AI64</f>
        <v/>
      </c>
      <c r="L67" s="74">
        <f>SUM('115自留(季)'!T64:U64)</f>
        <v>0</v>
      </c>
      <c r="M67" s="74" t="str">
        <f>+'115自留(季)'!V64</f>
        <v/>
      </c>
      <c r="N67" s="74">
        <f>SUM('115自留(季)'!X64:Y64)</f>
        <v>0</v>
      </c>
      <c r="O67" s="74">
        <f>+'115自留(季)'!W64+'115自留(季)'!Z64+'115自留(季)'!AC64+'115自留(季)'!AD64</f>
        <v>0</v>
      </c>
      <c r="P67" s="74" t="str">
        <f>+'115自留(季)'!AA64</f>
        <v/>
      </c>
      <c r="Q67" s="74">
        <f>+'115自留(季)'!AB64+'115自留(季)'!AE64+'115自留(季)'!AF64</f>
        <v>0</v>
      </c>
      <c r="R67" s="74">
        <f>'115自留(季)'!AG64+'115自留(季)'!AH64</f>
        <v>0</v>
      </c>
      <c r="S67" s="74" t="str">
        <f>+'115自留(季)'!AJ64</f>
        <v/>
      </c>
      <c r="T67" s="74">
        <f t="shared" si="9"/>
        <v>0</v>
      </c>
      <c r="U67" s="81">
        <v>6.165284534E9</v>
      </c>
      <c r="V67" s="75">
        <f t="shared" si="5"/>
        <v>-1</v>
      </c>
      <c r="W67" s="24"/>
      <c r="X67" s="24"/>
      <c r="Y67" s="24"/>
      <c r="Z67" s="24"/>
    </row>
    <row r="68" ht="42.75" hidden="1" customHeight="1">
      <c r="A68" s="85" t="s">
        <v>65</v>
      </c>
      <c r="B68" s="88" t="s">
        <v>98</v>
      </c>
      <c r="C68" s="80" t="s">
        <v>66</v>
      </c>
      <c r="D68" s="74">
        <f>SUM('115自留(季)'!D65:G65)</f>
        <v>0</v>
      </c>
      <c r="E68" s="74">
        <f>SUM('115自留(季)'!H65:K65)</f>
        <v>0</v>
      </c>
      <c r="F68" s="74" t="str">
        <f>+'115自留(季)'!L65</f>
        <v/>
      </c>
      <c r="G68" s="74">
        <f>SUM('115自留(季)'!M65:N65)</f>
        <v>0</v>
      </c>
      <c r="H68" s="74">
        <f>SUM('115自留(季)'!O65:P65)</f>
        <v>0</v>
      </c>
      <c r="I68" s="74">
        <f>SUM('115自留(季)'!Q65:R65)</f>
        <v>0</v>
      </c>
      <c r="J68" s="74" t="str">
        <f>+'115自留(季)'!S65</f>
        <v/>
      </c>
      <c r="K68" s="74" t="str">
        <f>+'115自留(季)'!AI65</f>
        <v/>
      </c>
      <c r="L68" s="74">
        <f>SUM('115自留(季)'!T65:U65)</f>
        <v>0</v>
      </c>
      <c r="M68" s="74" t="str">
        <f>+'115自留(季)'!V65</f>
        <v/>
      </c>
      <c r="N68" s="74">
        <f>SUM('115自留(季)'!X65:Y65)</f>
        <v>0</v>
      </c>
      <c r="O68" s="74">
        <f>+'115自留(季)'!W65+'115自留(季)'!Z65+'115自留(季)'!AC65+'115自留(季)'!AD65</f>
        <v>0</v>
      </c>
      <c r="P68" s="74" t="str">
        <f>+'115自留(季)'!AA65</f>
        <v/>
      </c>
      <c r="Q68" s="74">
        <f>+'115自留(季)'!AB65+'115自留(季)'!AE65+'115自留(季)'!AF65</f>
        <v>0</v>
      </c>
      <c r="R68" s="74">
        <f>'115自留(季)'!AG65+'115自留(季)'!AH65</f>
        <v>0</v>
      </c>
      <c r="S68" s="74" t="str">
        <f>+'115自留(季)'!AJ65</f>
        <v/>
      </c>
      <c r="T68" s="74">
        <f t="shared" si="9"/>
        <v>0</v>
      </c>
      <c r="U68" s="81">
        <v>4.709595124786001E10</v>
      </c>
      <c r="V68" s="75">
        <f t="shared" si="5"/>
        <v>-1</v>
      </c>
      <c r="W68" s="24"/>
      <c r="X68" s="24"/>
      <c r="Y68" s="24"/>
      <c r="Z68" s="24"/>
    </row>
    <row r="69" ht="42.75" hidden="1" customHeight="1">
      <c r="A69" s="85" t="s">
        <v>67</v>
      </c>
      <c r="B69" s="88" t="s">
        <v>98</v>
      </c>
      <c r="C69" s="80" t="s">
        <v>68</v>
      </c>
      <c r="D69" s="74">
        <f>SUM('115自留(季)'!D66:G66)</f>
        <v>0</v>
      </c>
      <c r="E69" s="74">
        <f>SUM('115自留(季)'!H66:K66)</f>
        <v>0</v>
      </c>
      <c r="F69" s="74" t="str">
        <f>+'115自留(季)'!L66</f>
        <v/>
      </c>
      <c r="G69" s="74">
        <f>SUM('115自留(季)'!M66:N66)</f>
        <v>0</v>
      </c>
      <c r="H69" s="74">
        <f>SUM('115自留(季)'!O66:P66)</f>
        <v>0</v>
      </c>
      <c r="I69" s="74">
        <f>SUM('115自留(季)'!Q66:R66)</f>
        <v>0</v>
      </c>
      <c r="J69" s="74" t="str">
        <f>+'115自留(季)'!S66</f>
        <v/>
      </c>
      <c r="K69" s="74" t="str">
        <f>+'115自留(季)'!AI66</f>
        <v/>
      </c>
      <c r="L69" s="74">
        <f>SUM('115自留(季)'!T66:U66)</f>
        <v>0</v>
      </c>
      <c r="M69" s="74" t="str">
        <f>+'115自留(季)'!V66</f>
        <v/>
      </c>
      <c r="N69" s="74">
        <f>SUM('115自留(季)'!X66:Y66)</f>
        <v>0</v>
      </c>
      <c r="O69" s="74">
        <f>+'115自留(季)'!W66+'115自留(季)'!Z66+'115自留(季)'!AC66+'115自留(季)'!AD66</f>
        <v>0</v>
      </c>
      <c r="P69" s="74" t="str">
        <f>+'115自留(季)'!AA66</f>
        <v/>
      </c>
      <c r="Q69" s="74">
        <f>+'115自留(季)'!AB66+'115自留(季)'!AE66+'115自留(季)'!AF66</f>
        <v>0</v>
      </c>
      <c r="R69" s="74">
        <f>'115自留(季)'!AG66+'115自留(季)'!AH66</f>
        <v>0</v>
      </c>
      <c r="S69" s="74" t="str">
        <f>+'115自留(季)'!AJ66</f>
        <v/>
      </c>
      <c r="T69" s="74">
        <f t="shared" si="9"/>
        <v>0</v>
      </c>
      <c r="U69" s="81">
        <v>1.1246988011E10</v>
      </c>
      <c r="V69" s="75">
        <f t="shared" si="5"/>
        <v>-1</v>
      </c>
      <c r="W69" s="24"/>
      <c r="X69" s="24"/>
      <c r="Y69" s="24"/>
      <c r="Z69" s="24"/>
    </row>
    <row r="70" ht="42.75" hidden="1" customHeight="1">
      <c r="A70" s="85" t="s">
        <v>69</v>
      </c>
      <c r="B70" s="88" t="s">
        <v>98</v>
      </c>
      <c r="C70" s="80" t="s">
        <v>70</v>
      </c>
      <c r="D70" s="74">
        <f>SUM('115自留(季)'!D67:G67)</f>
        <v>0</v>
      </c>
      <c r="E70" s="74">
        <f>SUM('115自留(季)'!H67:K67)</f>
        <v>0</v>
      </c>
      <c r="F70" s="74" t="str">
        <f>+'115自留(季)'!L67</f>
        <v/>
      </c>
      <c r="G70" s="74">
        <f>SUM('115自留(季)'!M67:N67)</f>
        <v>0</v>
      </c>
      <c r="H70" s="74">
        <f>SUM('115自留(季)'!O67:P67)</f>
        <v>0</v>
      </c>
      <c r="I70" s="74">
        <f>SUM('115自留(季)'!Q67:R67)</f>
        <v>0</v>
      </c>
      <c r="J70" s="74" t="str">
        <f>+'115自留(季)'!S67</f>
        <v/>
      </c>
      <c r="K70" s="74" t="str">
        <f>+'115自留(季)'!AI67</f>
        <v/>
      </c>
      <c r="L70" s="74">
        <f>SUM('115自留(季)'!T67:U67)</f>
        <v>0</v>
      </c>
      <c r="M70" s="74" t="str">
        <f>+'115自留(季)'!V67</f>
        <v/>
      </c>
      <c r="N70" s="74">
        <f>SUM('115自留(季)'!X67:Y67)</f>
        <v>0</v>
      </c>
      <c r="O70" s="74">
        <f>+'115自留(季)'!W67+'115自留(季)'!Z67+'115自留(季)'!AC67+'115自留(季)'!AD67</f>
        <v>0</v>
      </c>
      <c r="P70" s="74" t="str">
        <f>+'115自留(季)'!AA67</f>
        <v/>
      </c>
      <c r="Q70" s="74">
        <f>+'115自留(季)'!AB67+'115自留(季)'!AE67+'115自留(季)'!AF67</f>
        <v>0</v>
      </c>
      <c r="R70" s="74">
        <f>'115自留(季)'!AG67+'115自留(季)'!AH67</f>
        <v>0</v>
      </c>
      <c r="S70" s="74" t="str">
        <f>+'115自留(季)'!AJ67</f>
        <v/>
      </c>
      <c r="T70" s="74">
        <f t="shared" si="9"/>
        <v>0</v>
      </c>
      <c r="U70" s="81">
        <v>9.616585939E9</v>
      </c>
      <c r="V70" s="75">
        <f t="shared" si="5"/>
        <v>-1</v>
      </c>
      <c r="W70" s="24"/>
      <c r="X70" s="24"/>
      <c r="Y70" s="24"/>
      <c r="Z70" s="24"/>
    </row>
    <row r="71" ht="42.75" hidden="1" customHeight="1">
      <c r="A71" s="85" t="s">
        <v>71</v>
      </c>
      <c r="B71" s="88" t="s">
        <v>98</v>
      </c>
      <c r="C71" s="80" t="s">
        <v>72</v>
      </c>
      <c r="D71" s="74">
        <f>SUM('115自留(季)'!D68:G68)</f>
        <v>0</v>
      </c>
      <c r="E71" s="74">
        <f>SUM('115自留(季)'!H68:K68)</f>
        <v>0</v>
      </c>
      <c r="F71" s="74" t="str">
        <f>+'115自留(季)'!L68</f>
        <v/>
      </c>
      <c r="G71" s="74">
        <f>SUM('115自留(季)'!M68:N68)</f>
        <v>0</v>
      </c>
      <c r="H71" s="74">
        <f>SUM('115自留(季)'!O68:P68)</f>
        <v>0</v>
      </c>
      <c r="I71" s="74">
        <f>SUM('115自留(季)'!Q68:R68)</f>
        <v>0</v>
      </c>
      <c r="J71" s="74" t="str">
        <f>+'115自留(季)'!S68</f>
        <v/>
      </c>
      <c r="K71" s="74" t="str">
        <f>+'115自留(季)'!AI68</f>
        <v/>
      </c>
      <c r="L71" s="74">
        <f>SUM('115自留(季)'!T68:U68)</f>
        <v>0</v>
      </c>
      <c r="M71" s="74" t="str">
        <f>+'115自留(季)'!V68</f>
        <v/>
      </c>
      <c r="N71" s="74">
        <f>SUM('115自留(季)'!X68:Y68)</f>
        <v>0</v>
      </c>
      <c r="O71" s="74">
        <f>+'115自留(季)'!W68+'115自留(季)'!Z68+'115自留(季)'!AC68+'115自留(季)'!AD68</f>
        <v>0</v>
      </c>
      <c r="P71" s="74" t="str">
        <f>+'115自留(季)'!AA68</f>
        <v/>
      </c>
      <c r="Q71" s="74">
        <f>+'115自留(季)'!AB68+'115自留(季)'!AE68+'115自留(季)'!AF68</f>
        <v>0</v>
      </c>
      <c r="R71" s="74">
        <f>'115自留(季)'!AG68+'115自留(季)'!AH68</f>
        <v>0</v>
      </c>
      <c r="S71" s="74" t="str">
        <f>+'115自留(季)'!AJ68</f>
        <v/>
      </c>
      <c r="T71" s="74">
        <f t="shared" si="9"/>
        <v>0</v>
      </c>
      <c r="U71" s="81">
        <v>1.2119573251E10</v>
      </c>
      <c r="V71" s="75">
        <f t="shared" si="5"/>
        <v>-1</v>
      </c>
      <c r="W71" s="24"/>
      <c r="X71" s="24"/>
      <c r="Y71" s="24"/>
      <c r="Z71" s="24"/>
    </row>
    <row r="72" ht="42.75" hidden="1" customHeight="1">
      <c r="A72" s="85" t="s">
        <v>73</v>
      </c>
      <c r="B72" s="88" t="s">
        <v>98</v>
      </c>
      <c r="C72" s="80" t="s">
        <v>74</v>
      </c>
      <c r="D72" s="74">
        <f>SUM('115自留(季)'!D69:G69)</f>
        <v>0</v>
      </c>
      <c r="E72" s="74">
        <f>SUM('115自留(季)'!H69:K69)</f>
        <v>0</v>
      </c>
      <c r="F72" s="74" t="str">
        <f>+'115自留(季)'!L69</f>
        <v/>
      </c>
      <c r="G72" s="74">
        <f>SUM('115自留(季)'!M69:N69)</f>
        <v>0</v>
      </c>
      <c r="H72" s="74">
        <f>SUM('115自留(季)'!O69:P69)</f>
        <v>0</v>
      </c>
      <c r="I72" s="74">
        <f>SUM('115自留(季)'!Q69:R69)</f>
        <v>0</v>
      </c>
      <c r="J72" s="74" t="str">
        <f>+'115自留(季)'!S69</f>
        <v/>
      </c>
      <c r="K72" s="74" t="str">
        <f>+'115自留(季)'!AI69</f>
        <v/>
      </c>
      <c r="L72" s="74">
        <f>SUM('115自留(季)'!T69:U69)</f>
        <v>0</v>
      </c>
      <c r="M72" s="74" t="str">
        <f>+'115自留(季)'!V69</f>
        <v/>
      </c>
      <c r="N72" s="74">
        <f>SUM('115自留(季)'!X69:Y69)</f>
        <v>0</v>
      </c>
      <c r="O72" s="74">
        <f>+'115自留(季)'!W69+'115自留(季)'!Z69+'115自留(季)'!AC69+'115自留(季)'!AD69</f>
        <v>0</v>
      </c>
      <c r="P72" s="74" t="str">
        <f>+'115自留(季)'!AA69</f>
        <v/>
      </c>
      <c r="Q72" s="74">
        <f>+'115自留(季)'!AB69+'115自留(季)'!AE69+'115自留(季)'!AF69</f>
        <v>0</v>
      </c>
      <c r="R72" s="74">
        <f>'115自留(季)'!AG69+'115自留(季)'!AH69</f>
        <v>0</v>
      </c>
      <c r="S72" s="74" t="str">
        <f>+'115自留(季)'!AJ69</f>
        <v/>
      </c>
      <c r="T72" s="74">
        <f t="shared" si="9"/>
        <v>0</v>
      </c>
      <c r="U72" s="81">
        <v>9.187671539E9</v>
      </c>
      <c r="V72" s="75">
        <f t="shared" si="5"/>
        <v>-1</v>
      </c>
      <c r="W72" s="24"/>
      <c r="X72" s="24"/>
      <c r="Y72" s="24"/>
      <c r="Z72" s="24"/>
    </row>
    <row r="73" ht="42.75" hidden="1" customHeight="1">
      <c r="A73" s="85" t="s">
        <v>75</v>
      </c>
      <c r="B73" s="88" t="s">
        <v>98</v>
      </c>
      <c r="C73" s="80" t="s">
        <v>76</v>
      </c>
      <c r="D73" s="74">
        <f>SUM('115自留(季)'!D70:G70)</f>
        <v>0</v>
      </c>
      <c r="E73" s="74">
        <f>SUM('115自留(季)'!H70:K70)</f>
        <v>0</v>
      </c>
      <c r="F73" s="74" t="str">
        <f>+'115自留(季)'!L70</f>
        <v/>
      </c>
      <c r="G73" s="74">
        <f>SUM('115自留(季)'!M70:N70)</f>
        <v>0</v>
      </c>
      <c r="H73" s="74">
        <f>SUM('115自留(季)'!O70:P70)</f>
        <v>0</v>
      </c>
      <c r="I73" s="74">
        <f>SUM('115自留(季)'!Q70:R70)</f>
        <v>0</v>
      </c>
      <c r="J73" s="74" t="str">
        <f>+'115自留(季)'!S70</f>
        <v/>
      </c>
      <c r="K73" s="74" t="str">
        <f>+'115自留(季)'!AI70</f>
        <v/>
      </c>
      <c r="L73" s="74">
        <f>SUM('115自留(季)'!T70:U70)</f>
        <v>0</v>
      </c>
      <c r="M73" s="74" t="str">
        <f>+'115自留(季)'!V70</f>
        <v/>
      </c>
      <c r="N73" s="74">
        <f>SUM('115自留(季)'!X70:Y70)</f>
        <v>0</v>
      </c>
      <c r="O73" s="74">
        <f>+'115自留(季)'!W70+'115自留(季)'!Z70+'115自留(季)'!AC70+'115自留(季)'!AD70</f>
        <v>0</v>
      </c>
      <c r="P73" s="74" t="str">
        <f>+'115自留(季)'!AA70</f>
        <v/>
      </c>
      <c r="Q73" s="74">
        <f>+'115自留(季)'!AB70+'115自留(季)'!AE70+'115自留(季)'!AF70</f>
        <v>0</v>
      </c>
      <c r="R73" s="74">
        <f>'115自留(季)'!AG70+'115自留(季)'!AH70</f>
        <v>0</v>
      </c>
      <c r="S73" s="74" t="str">
        <f>+'115自留(季)'!AJ70</f>
        <v/>
      </c>
      <c r="T73" s="74">
        <f t="shared" si="9"/>
        <v>0</v>
      </c>
      <c r="U73" s="81">
        <v>6.95908233E9</v>
      </c>
      <c r="V73" s="75">
        <f t="shared" si="5"/>
        <v>-1</v>
      </c>
      <c r="W73" s="24"/>
      <c r="X73" s="24"/>
      <c r="Y73" s="24"/>
      <c r="Z73" s="24"/>
    </row>
    <row r="74" ht="42.75" hidden="1" customHeight="1">
      <c r="A74" s="85" t="s">
        <v>77</v>
      </c>
      <c r="B74" s="88" t="s">
        <v>98</v>
      </c>
      <c r="C74" s="80" t="s">
        <v>78</v>
      </c>
      <c r="D74" s="74">
        <f>SUM('115自留(季)'!D71:G71)</f>
        <v>0</v>
      </c>
      <c r="E74" s="74">
        <f>SUM('115自留(季)'!H71:K71)</f>
        <v>0</v>
      </c>
      <c r="F74" s="74" t="str">
        <f>+'115自留(季)'!L71</f>
        <v/>
      </c>
      <c r="G74" s="74">
        <f>SUM('115自留(季)'!M71:N71)</f>
        <v>0</v>
      </c>
      <c r="H74" s="74">
        <f>SUM('115自留(季)'!O71:P71)</f>
        <v>0</v>
      </c>
      <c r="I74" s="74">
        <f>SUM('115自留(季)'!Q71:R71)</f>
        <v>0</v>
      </c>
      <c r="J74" s="74" t="str">
        <f>+'115自留(季)'!S71</f>
        <v/>
      </c>
      <c r="K74" s="74" t="str">
        <f>+'115自留(季)'!AI71</f>
        <v/>
      </c>
      <c r="L74" s="74">
        <f>SUM('115自留(季)'!T71:U71)</f>
        <v>0</v>
      </c>
      <c r="M74" s="74" t="str">
        <f>+'115自留(季)'!V71</f>
        <v/>
      </c>
      <c r="N74" s="74">
        <f>SUM('115自留(季)'!X71:Y71)</f>
        <v>0</v>
      </c>
      <c r="O74" s="74">
        <f>+'115自留(季)'!W71+'115自留(季)'!Z71+'115自留(季)'!AC71+'115自留(季)'!AD71</f>
        <v>0</v>
      </c>
      <c r="P74" s="74" t="str">
        <f>+'115自留(季)'!AA71</f>
        <v/>
      </c>
      <c r="Q74" s="74">
        <f>+'115自留(季)'!AB71+'115自留(季)'!AE71+'115自留(季)'!AF71</f>
        <v>0</v>
      </c>
      <c r="R74" s="74">
        <f>'115自留(季)'!AG71+'115自留(季)'!AH71</f>
        <v>0</v>
      </c>
      <c r="S74" s="74" t="str">
        <f>+'115自留(季)'!AJ71</f>
        <v/>
      </c>
      <c r="T74" s="74">
        <f t="shared" si="9"/>
        <v>0</v>
      </c>
      <c r="U74" s="81">
        <v>1.0176606345E10</v>
      </c>
      <c r="V74" s="75">
        <f t="shared" si="5"/>
        <v>-1</v>
      </c>
      <c r="W74" s="24"/>
      <c r="X74" s="24"/>
      <c r="Y74" s="24"/>
      <c r="Z74" s="24"/>
    </row>
    <row r="75" ht="42.75" hidden="1" customHeight="1">
      <c r="A75" s="85" t="s">
        <v>79</v>
      </c>
      <c r="B75" s="88" t="s">
        <v>98</v>
      </c>
      <c r="C75" s="80" t="s">
        <v>80</v>
      </c>
      <c r="D75" s="74">
        <f>SUM('115自留(季)'!D72:G72)</f>
        <v>0</v>
      </c>
      <c r="E75" s="74">
        <f>SUM('115自留(季)'!H72:K72)</f>
        <v>0</v>
      </c>
      <c r="F75" s="74" t="str">
        <f>+'115自留(季)'!L72</f>
        <v/>
      </c>
      <c r="G75" s="74">
        <f>SUM('115自留(季)'!M72:N72)</f>
        <v>0</v>
      </c>
      <c r="H75" s="74">
        <f>SUM('115自留(季)'!O72:P72)</f>
        <v>0</v>
      </c>
      <c r="I75" s="74">
        <f>SUM('115自留(季)'!Q72:R72)</f>
        <v>0</v>
      </c>
      <c r="J75" s="74" t="str">
        <f>+'115自留(季)'!S72</f>
        <v/>
      </c>
      <c r="K75" s="74" t="str">
        <f>+'115自留(季)'!AI72</f>
        <v/>
      </c>
      <c r="L75" s="74">
        <f>SUM('115自留(季)'!T72:U72)</f>
        <v>0</v>
      </c>
      <c r="M75" s="74" t="str">
        <f>+'115自留(季)'!V72</f>
        <v/>
      </c>
      <c r="N75" s="74">
        <f>SUM('115自留(季)'!X72:Y72)</f>
        <v>0</v>
      </c>
      <c r="O75" s="74">
        <f>+'115自留(季)'!W72+'115自留(季)'!Z72+'115自留(季)'!AC72+'115自留(季)'!AD72</f>
        <v>0</v>
      </c>
      <c r="P75" s="74" t="str">
        <f>+'115自留(季)'!AA72</f>
        <v/>
      </c>
      <c r="Q75" s="74">
        <f>+'115自留(季)'!AB72+'115自留(季)'!AE72+'115自留(季)'!AF72</f>
        <v>0</v>
      </c>
      <c r="R75" s="74">
        <f>'115自留(季)'!AG72+'115自留(季)'!AH72</f>
        <v>0</v>
      </c>
      <c r="S75" s="74" t="str">
        <f>+'115自留(季)'!AJ72</f>
        <v/>
      </c>
      <c r="T75" s="74">
        <f t="shared" si="9"/>
        <v>0</v>
      </c>
      <c r="U75" s="81">
        <v>2.0240590351E10</v>
      </c>
      <c r="V75" s="75">
        <f t="shared" si="5"/>
        <v>-1</v>
      </c>
      <c r="W75" s="24"/>
      <c r="X75" s="24"/>
      <c r="Y75" s="24"/>
      <c r="Z75" s="24"/>
    </row>
    <row r="76" ht="42.75" hidden="1" customHeight="1">
      <c r="A76" s="85" t="s">
        <v>81</v>
      </c>
      <c r="B76" s="88" t="s">
        <v>98</v>
      </c>
      <c r="C76" s="80" t="s">
        <v>82</v>
      </c>
      <c r="D76" s="74">
        <f>SUM('115自留(季)'!D73:G73)</f>
        <v>0</v>
      </c>
      <c r="E76" s="74">
        <f>SUM('115自留(季)'!H73:K73)</f>
        <v>0</v>
      </c>
      <c r="F76" s="74" t="str">
        <f>+'115自留(季)'!L73</f>
        <v/>
      </c>
      <c r="G76" s="74">
        <f>SUM('115自留(季)'!M73:N73)</f>
        <v>0</v>
      </c>
      <c r="H76" s="74">
        <f>SUM('115自留(季)'!O73:P73)</f>
        <v>0</v>
      </c>
      <c r="I76" s="74">
        <f>SUM('115自留(季)'!Q73:R73)</f>
        <v>0</v>
      </c>
      <c r="J76" s="74" t="str">
        <f>+'115自留(季)'!S73</f>
        <v/>
      </c>
      <c r="K76" s="74" t="str">
        <f>+'115自留(季)'!AI73</f>
        <v/>
      </c>
      <c r="L76" s="74">
        <f>SUM('115自留(季)'!T73:U73)</f>
        <v>0</v>
      </c>
      <c r="M76" s="74" t="str">
        <f>+'115自留(季)'!V73</f>
        <v/>
      </c>
      <c r="N76" s="74">
        <f>SUM('115自留(季)'!X73:Y73)</f>
        <v>0</v>
      </c>
      <c r="O76" s="74">
        <f>+'115自留(季)'!W73+'115自留(季)'!Z73+'115自留(季)'!AC73+'115自留(季)'!AD73</f>
        <v>0</v>
      </c>
      <c r="P76" s="74" t="str">
        <f>+'115自留(季)'!AA73</f>
        <v/>
      </c>
      <c r="Q76" s="74">
        <f>+'115自留(季)'!AB73+'115自留(季)'!AE73+'115自留(季)'!AF73</f>
        <v>0</v>
      </c>
      <c r="R76" s="74">
        <f>'115自留(季)'!AG73+'115自留(季)'!AH73</f>
        <v>0</v>
      </c>
      <c r="S76" s="74" t="str">
        <f>+'115自留(季)'!AJ73</f>
        <v/>
      </c>
      <c r="T76" s="74">
        <f t="shared" si="9"/>
        <v>0</v>
      </c>
      <c r="U76" s="81">
        <v>1.046480248E10</v>
      </c>
      <c r="V76" s="75">
        <f t="shared" si="5"/>
        <v>-1</v>
      </c>
      <c r="W76" s="24"/>
      <c r="X76" s="24"/>
      <c r="Y76" s="24"/>
      <c r="Z76" s="24"/>
    </row>
    <row r="77" ht="42.75" hidden="1" customHeight="1">
      <c r="A77" s="85" t="s">
        <v>83</v>
      </c>
      <c r="B77" s="88" t="s">
        <v>98</v>
      </c>
      <c r="C77" s="80" t="s">
        <v>84</v>
      </c>
      <c r="D77" s="74">
        <f>SUM('115自留(季)'!D74:G74)</f>
        <v>0</v>
      </c>
      <c r="E77" s="74">
        <f>SUM('115自留(季)'!H74:K74)</f>
        <v>0</v>
      </c>
      <c r="F77" s="74" t="str">
        <f>+'115自留(季)'!L74</f>
        <v/>
      </c>
      <c r="G77" s="74">
        <f>SUM('115自留(季)'!M74:N74)</f>
        <v>0</v>
      </c>
      <c r="H77" s="74">
        <f>SUM('115自留(季)'!O74:P74)</f>
        <v>0</v>
      </c>
      <c r="I77" s="74">
        <f>SUM('115自留(季)'!Q74:R74)</f>
        <v>0</v>
      </c>
      <c r="J77" s="74" t="str">
        <f>+'115自留(季)'!S74</f>
        <v/>
      </c>
      <c r="K77" s="74" t="str">
        <f>+'115自留(季)'!AI74</f>
        <v/>
      </c>
      <c r="L77" s="74">
        <f>SUM('115自留(季)'!T74:U74)</f>
        <v>0</v>
      </c>
      <c r="M77" s="74" t="str">
        <f>+'115自留(季)'!V74</f>
        <v/>
      </c>
      <c r="N77" s="74">
        <f>SUM('115自留(季)'!X74:Y74)</f>
        <v>0</v>
      </c>
      <c r="O77" s="74">
        <f>+'115自留(季)'!W74+'115自留(季)'!Z74+'115自留(季)'!AC74+'115自留(季)'!AD74</f>
        <v>0</v>
      </c>
      <c r="P77" s="74" t="str">
        <f>+'115自留(季)'!AA74</f>
        <v/>
      </c>
      <c r="Q77" s="74">
        <f>+'115自留(季)'!AB74+'115自留(季)'!AE74+'115自留(季)'!AF74</f>
        <v>0</v>
      </c>
      <c r="R77" s="74">
        <f>'115自留(季)'!AG74+'115自留(季)'!AH74</f>
        <v>0</v>
      </c>
      <c r="S77" s="74" t="str">
        <f>+'115自留(季)'!AJ74</f>
        <v/>
      </c>
      <c r="T77" s="74">
        <f t="shared" si="9"/>
        <v>0</v>
      </c>
      <c r="U77" s="81">
        <v>2.8213370127E10</v>
      </c>
      <c r="V77" s="75">
        <f t="shared" si="5"/>
        <v>-1</v>
      </c>
      <c r="W77" s="24"/>
      <c r="X77" s="24"/>
      <c r="Y77" s="24"/>
      <c r="Z77" s="24"/>
    </row>
    <row r="78" ht="42.75" hidden="1" customHeight="1">
      <c r="A78" s="85" t="s">
        <v>85</v>
      </c>
      <c r="B78" s="88" t="s">
        <v>98</v>
      </c>
      <c r="C78" s="80" t="s">
        <v>86</v>
      </c>
      <c r="D78" s="74">
        <f>SUM('115自留(季)'!D75:G75)</f>
        <v>0</v>
      </c>
      <c r="E78" s="74">
        <f>SUM('115自留(季)'!H75:K75)</f>
        <v>0</v>
      </c>
      <c r="F78" s="74" t="str">
        <f>+'115自留(季)'!L75</f>
        <v/>
      </c>
      <c r="G78" s="74">
        <f>SUM('115自留(季)'!M75:N75)</f>
        <v>0</v>
      </c>
      <c r="H78" s="74">
        <f>SUM('115自留(季)'!O75:P75)</f>
        <v>0</v>
      </c>
      <c r="I78" s="74">
        <f>SUM('115自留(季)'!Q75:R75)</f>
        <v>0</v>
      </c>
      <c r="J78" s="74" t="str">
        <f>+'115自留(季)'!S75</f>
        <v/>
      </c>
      <c r="K78" s="74" t="str">
        <f>+'115自留(季)'!AI75</f>
        <v/>
      </c>
      <c r="L78" s="74">
        <f>SUM('115自留(季)'!T75:U75)</f>
        <v>0</v>
      </c>
      <c r="M78" s="74" t="str">
        <f>+'115自留(季)'!V75</f>
        <v/>
      </c>
      <c r="N78" s="74">
        <f>SUM('115自留(季)'!X75:Y75)</f>
        <v>0</v>
      </c>
      <c r="O78" s="74">
        <f>+'115自留(季)'!W75+'115自留(季)'!Z75+'115自留(季)'!AC75+'115自留(季)'!AD75</f>
        <v>0</v>
      </c>
      <c r="P78" s="74" t="str">
        <f>+'115自留(季)'!AA75</f>
        <v/>
      </c>
      <c r="Q78" s="74">
        <f>+'115自留(季)'!AB75+'115自留(季)'!AE75+'115自留(季)'!AF75</f>
        <v>0</v>
      </c>
      <c r="R78" s="74">
        <f>'115自留(季)'!AG75+'115自留(季)'!AH75</f>
        <v>0</v>
      </c>
      <c r="S78" s="74" t="str">
        <f>+'115自留(季)'!AJ75</f>
        <v/>
      </c>
      <c r="T78" s="74">
        <f t="shared" si="9"/>
        <v>0</v>
      </c>
      <c r="U78" s="81">
        <v>1.7326466788E10</v>
      </c>
      <c r="V78" s="75">
        <f t="shared" si="5"/>
        <v>-1</v>
      </c>
      <c r="W78" s="24"/>
      <c r="X78" s="24"/>
      <c r="Y78" s="24"/>
      <c r="Z78" s="24"/>
    </row>
    <row r="79" ht="42.75" hidden="1" customHeight="1">
      <c r="A79" s="85">
        <v>18.0</v>
      </c>
      <c r="B79" s="88" t="s">
        <v>98</v>
      </c>
      <c r="C79" s="80" t="s">
        <v>87</v>
      </c>
      <c r="D79" s="74">
        <f>SUM('115自留(季)'!D76:G76)</f>
        <v>0</v>
      </c>
      <c r="E79" s="74">
        <f>SUM('115自留(季)'!H76:K76)</f>
        <v>0</v>
      </c>
      <c r="F79" s="74" t="str">
        <f>+'115自留(季)'!L76</f>
        <v/>
      </c>
      <c r="G79" s="74">
        <f>SUM('115自留(季)'!M76:N76)</f>
        <v>0</v>
      </c>
      <c r="H79" s="74">
        <f>SUM('115自留(季)'!O76:P76)</f>
        <v>0</v>
      </c>
      <c r="I79" s="74">
        <f>SUM('115自留(季)'!Q76:R76)</f>
        <v>0</v>
      </c>
      <c r="J79" s="74" t="str">
        <f>+'115自留(季)'!S76</f>
        <v/>
      </c>
      <c r="K79" s="74" t="str">
        <f>+'115自留(季)'!AI76</f>
        <v/>
      </c>
      <c r="L79" s="74">
        <f>SUM('115自留(季)'!T76:U76)</f>
        <v>0</v>
      </c>
      <c r="M79" s="74" t="str">
        <f>+'115自留(季)'!V76</f>
        <v/>
      </c>
      <c r="N79" s="74">
        <f>SUM('115自留(季)'!X76:Y76)</f>
        <v>0</v>
      </c>
      <c r="O79" s="74">
        <f>+'115自留(季)'!W76+'115自留(季)'!Z76+'115自留(季)'!AC76+'115自留(季)'!AD76</f>
        <v>0</v>
      </c>
      <c r="P79" s="74" t="str">
        <f>+'115自留(季)'!AA76</f>
        <v/>
      </c>
      <c r="Q79" s="74">
        <f>+'115自留(季)'!AB76+'115自留(季)'!AE76+'115自留(季)'!AF76</f>
        <v>0</v>
      </c>
      <c r="R79" s="74">
        <f>'115自留(季)'!AG76+'115自留(季)'!AH76</f>
        <v>0</v>
      </c>
      <c r="S79" s="74" t="str">
        <f>+'115自留(季)'!AJ76</f>
        <v/>
      </c>
      <c r="T79" s="74">
        <f t="shared" si="9"/>
        <v>0</v>
      </c>
      <c r="U79" s="81">
        <v>2.480322408E9</v>
      </c>
      <c r="V79" s="75">
        <f t="shared" si="5"/>
        <v>-1</v>
      </c>
      <c r="W79" s="24"/>
      <c r="X79" s="24"/>
      <c r="Y79" s="24"/>
      <c r="Z79" s="24"/>
    </row>
    <row r="80" ht="35.25" hidden="1" customHeight="1">
      <c r="A80" s="20">
        <v>28.0</v>
      </c>
      <c r="B80" s="88" t="s">
        <v>98</v>
      </c>
      <c r="C80" s="80" t="s">
        <v>88</v>
      </c>
      <c r="D80" s="74">
        <f>SUM('115自留(季)'!D77:G77)</f>
        <v>0</v>
      </c>
      <c r="E80" s="74">
        <f>SUM('115自留(季)'!H77:K77)</f>
        <v>0</v>
      </c>
      <c r="F80" s="74" t="str">
        <f>+'115自留(季)'!L77</f>
        <v/>
      </c>
      <c r="G80" s="74">
        <f>SUM('115自留(季)'!M77:N77)</f>
        <v>0</v>
      </c>
      <c r="H80" s="74">
        <f>SUM('115自留(季)'!O77:P77)</f>
        <v>0</v>
      </c>
      <c r="I80" s="74">
        <f>SUM('115自留(季)'!Q77:R77)</f>
        <v>0</v>
      </c>
      <c r="J80" s="74" t="str">
        <f>+'115自留(季)'!S77</f>
        <v/>
      </c>
      <c r="K80" s="74" t="str">
        <f>+'115自留(季)'!AI77</f>
        <v/>
      </c>
      <c r="L80" s="74">
        <f>SUM('115自留(季)'!T77:U77)</f>
        <v>0</v>
      </c>
      <c r="M80" s="74" t="str">
        <f>+'115自留(季)'!V77</f>
        <v/>
      </c>
      <c r="N80" s="74">
        <f>SUM('115自留(季)'!X77:Y77)</f>
        <v>0</v>
      </c>
      <c r="O80" s="74">
        <f>+'115自留(季)'!W77+'115自留(季)'!Z77+'115自留(季)'!AC77+'115自留(季)'!AD77</f>
        <v>0</v>
      </c>
      <c r="P80" s="74" t="str">
        <f>+'115自留(季)'!AA77</f>
        <v/>
      </c>
      <c r="Q80" s="74">
        <f>+'115自留(季)'!AB77+'115自留(季)'!AE77+'115自留(季)'!AF77</f>
        <v>0</v>
      </c>
      <c r="R80" s="74">
        <f>'115自留(季)'!AG77+'115自留(季)'!AH77</f>
        <v>0</v>
      </c>
      <c r="S80" s="74" t="str">
        <f>+'115自留(季)'!AJ77</f>
        <v/>
      </c>
      <c r="T80" s="74">
        <f t="shared" si="9"/>
        <v>0</v>
      </c>
      <c r="U80" s="81">
        <v>1.08149351E8</v>
      </c>
      <c r="V80" s="75">
        <f t="shared" si="5"/>
        <v>-1</v>
      </c>
      <c r="W80" s="24"/>
      <c r="X80" s="24"/>
      <c r="Y80" s="24"/>
      <c r="Z80" s="24"/>
    </row>
    <row r="81" ht="42.75" hidden="1" customHeight="1">
      <c r="A81" s="85">
        <v>29.0</v>
      </c>
      <c r="B81" s="88" t="s">
        <v>98</v>
      </c>
      <c r="C81" s="80" t="s">
        <v>89</v>
      </c>
      <c r="D81" s="74">
        <f>SUM('115自留(季)'!D78:G78)</f>
        <v>0</v>
      </c>
      <c r="E81" s="74">
        <f>SUM('115自留(季)'!H78:K78)</f>
        <v>0</v>
      </c>
      <c r="F81" s="74" t="str">
        <f>+'115自留(季)'!L78</f>
        <v/>
      </c>
      <c r="G81" s="74">
        <f>SUM('115自留(季)'!M78:N78)</f>
        <v>0</v>
      </c>
      <c r="H81" s="74">
        <f>SUM('115自留(季)'!O78:P78)</f>
        <v>0</v>
      </c>
      <c r="I81" s="74">
        <f>SUM('115自留(季)'!Q78:R78)</f>
        <v>0</v>
      </c>
      <c r="J81" s="74" t="str">
        <f>+'115自留(季)'!S78</f>
        <v/>
      </c>
      <c r="K81" s="74" t="str">
        <f>+'115自留(季)'!AI78</f>
        <v/>
      </c>
      <c r="L81" s="74">
        <f>SUM('115自留(季)'!T78:U78)</f>
        <v>0</v>
      </c>
      <c r="M81" s="74" t="str">
        <f>+'115自留(季)'!V78</f>
        <v/>
      </c>
      <c r="N81" s="74">
        <f>SUM('115自留(季)'!X78:Y78)</f>
        <v>0</v>
      </c>
      <c r="O81" s="74">
        <f>+'115自留(季)'!W78+'115自留(季)'!Z78+'115自留(季)'!AC78+'115自留(季)'!AD78</f>
        <v>0</v>
      </c>
      <c r="P81" s="74" t="str">
        <f>+'115自留(季)'!AA78</f>
        <v/>
      </c>
      <c r="Q81" s="74">
        <f>+'115自留(季)'!AB78+'115自留(季)'!AE78+'115自留(季)'!AF78</f>
        <v>0</v>
      </c>
      <c r="R81" s="74">
        <f>'115自留(季)'!AG78+'115自留(季)'!AH78</f>
        <v>0</v>
      </c>
      <c r="S81" s="74" t="str">
        <f>+'115自留(季)'!AJ78</f>
        <v/>
      </c>
      <c r="T81" s="74">
        <f t="shared" si="9"/>
        <v>0</v>
      </c>
      <c r="U81" s="81">
        <v>6.23553764E8</v>
      </c>
      <c r="V81" s="75">
        <f t="shared" si="5"/>
        <v>-1</v>
      </c>
      <c r="W81" s="24"/>
      <c r="X81" s="24"/>
      <c r="Y81" s="24"/>
      <c r="Z81" s="24"/>
    </row>
    <row r="82" ht="42.75" hidden="1" customHeight="1">
      <c r="A82" s="85" t="s">
        <v>90</v>
      </c>
      <c r="B82" s="88" t="s">
        <v>98</v>
      </c>
      <c r="C82" s="80" t="s">
        <v>91</v>
      </c>
      <c r="D82" s="74">
        <f>SUM('115自留(季)'!D79:G79)</f>
        <v>0</v>
      </c>
      <c r="E82" s="74">
        <f>SUM('115自留(季)'!H79:K79)</f>
        <v>0</v>
      </c>
      <c r="F82" s="74" t="str">
        <f>+'115自留(季)'!L79</f>
        <v/>
      </c>
      <c r="G82" s="74">
        <f>SUM('115自留(季)'!M79:N79)</f>
        <v>0</v>
      </c>
      <c r="H82" s="74">
        <f>SUM('115自留(季)'!O79:P79)</f>
        <v>0</v>
      </c>
      <c r="I82" s="74">
        <f>SUM('115自留(季)'!Q79:R79)</f>
        <v>0</v>
      </c>
      <c r="J82" s="74" t="str">
        <f>+'115自留(季)'!S79</f>
        <v/>
      </c>
      <c r="K82" s="74" t="str">
        <f>+'115自留(季)'!AI79</f>
        <v/>
      </c>
      <c r="L82" s="74">
        <f>SUM('115自留(季)'!T79:U79)</f>
        <v>0</v>
      </c>
      <c r="M82" s="74" t="str">
        <f>+'115自留(季)'!V79</f>
        <v/>
      </c>
      <c r="N82" s="74">
        <f>SUM('115自留(季)'!X79:Y79)</f>
        <v>0</v>
      </c>
      <c r="O82" s="74">
        <f>+'115自留(季)'!W79+'115自留(季)'!Z79+'115自留(季)'!AC79+'115自留(季)'!AD79</f>
        <v>0</v>
      </c>
      <c r="P82" s="74" t="str">
        <f>+'115自留(季)'!AA79</f>
        <v/>
      </c>
      <c r="Q82" s="74">
        <f>+'115自留(季)'!AB79+'115自留(季)'!AE79+'115自留(季)'!AF79</f>
        <v>0</v>
      </c>
      <c r="R82" s="74">
        <f>'115自留(季)'!AG79+'115自留(季)'!AH79</f>
        <v>0</v>
      </c>
      <c r="S82" s="74" t="str">
        <f>+'115自留(季)'!AJ79</f>
        <v/>
      </c>
      <c r="T82" s="74">
        <f t="shared" si="9"/>
        <v>0</v>
      </c>
      <c r="U82" s="81">
        <v>4.57435379E9</v>
      </c>
      <c r="V82" s="75">
        <f t="shared" si="5"/>
        <v>-1</v>
      </c>
      <c r="W82" s="24"/>
      <c r="X82" s="24"/>
      <c r="Y82" s="24"/>
      <c r="Z82" s="24"/>
    </row>
    <row r="83" ht="42.75" hidden="1" customHeight="1">
      <c r="A83" s="85" t="s">
        <v>96</v>
      </c>
      <c r="B83" s="88" t="s">
        <v>98</v>
      </c>
      <c r="C83" s="80" t="s">
        <v>92</v>
      </c>
      <c r="D83" s="74">
        <f>SUM('115自留(季)'!D80:G80)</f>
        <v>0</v>
      </c>
      <c r="E83" s="74">
        <f>SUM('115自留(季)'!H80:K80)</f>
        <v>0</v>
      </c>
      <c r="F83" s="74" t="str">
        <f>+'115自留(季)'!L80</f>
        <v/>
      </c>
      <c r="G83" s="74">
        <f>SUM('115自留(季)'!M80:N80)</f>
        <v>0</v>
      </c>
      <c r="H83" s="74">
        <f>SUM('115自留(季)'!O80:P80)</f>
        <v>0</v>
      </c>
      <c r="I83" s="74">
        <f>SUM('115自留(季)'!Q80:R80)</f>
        <v>0</v>
      </c>
      <c r="J83" s="74" t="str">
        <f>+'115自留(季)'!S80</f>
        <v/>
      </c>
      <c r="K83" s="74" t="str">
        <f>+'115自留(季)'!AI80</f>
        <v/>
      </c>
      <c r="L83" s="74">
        <f>SUM('115自留(季)'!T80:U80)</f>
        <v>0</v>
      </c>
      <c r="M83" s="74" t="str">
        <f>+'115自留(季)'!V80</f>
        <v/>
      </c>
      <c r="N83" s="74">
        <f>SUM('115自留(季)'!X80:Y80)</f>
        <v>0</v>
      </c>
      <c r="O83" s="74">
        <f>+'115自留(季)'!W80+'115自留(季)'!Z80+'115自留(季)'!AC80+'115自留(季)'!AD80</f>
        <v>0</v>
      </c>
      <c r="P83" s="74" t="str">
        <f>+'115自留(季)'!AA80</f>
        <v/>
      </c>
      <c r="Q83" s="74">
        <f>+'115自留(季)'!AB80+'115自留(季)'!AE80+'115自留(季)'!AF80</f>
        <v>0</v>
      </c>
      <c r="R83" s="74">
        <f>'115自留(季)'!AG80+'115自留(季)'!AH80</f>
        <v>0</v>
      </c>
      <c r="S83" s="74" t="str">
        <f>+'115自留(季)'!AJ80</f>
        <v/>
      </c>
      <c r="T83" s="74">
        <f t="shared" si="9"/>
        <v>0</v>
      </c>
      <c r="U83" s="81">
        <v>9.3262529E7</v>
      </c>
      <c r="V83" s="75">
        <f t="shared" si="5"/>
        <v>-1</v>
      </c>
      <c r="W83" s="24"/>
      <c r="X83" s="24"/>
      <c r="Y83" s="24"/>
      <c r="Z83" s="24"/>
    </row>
    <row r="84" ht="42.75" hidden="1" customHeight="1">
      <c r="A84" s="85">
        <v>47.0</v>
      </c>
      <c r="B84" s="88" t="s">
        <v>98</v>
      </c>
      <c r="C84" s="80" t="s">
        <v>93</v>
      </c>
      <c r="D84" s="74">
        <f>SUM('115自留(季)'!D81:G81)</f>
        <v>0</v>
      </c>
      <c r="E84" s="74">
        <f>SUM('115自留(季)'!H81:K81)</f>
        <v>0</v>
      </c>
      <c r="F84" s="74" t="str">
        <f>+'115自留(季)'!L81</f>
        <v/>
      </c>
      <c r="G84" s="74">
        <f>SUM('115自留(季)'!M81:N81)</f>
        <v>0</v>
      </c>
      <c r="H84" s="74">
        <f>SUM('115自留(季)'!O81:P81)</f>
        <v>0</v>
      </c>
      <c r="I84" s="74">
        <f>SUM('115自留(季)'!Q81:R81)</f>
        <v>0</v>
      </c>
      <c r="J84" s="74" t="str">
        <f>+'115自留(季)'!S81</f>
        <v/>
      </c>
      <c r="K84" s="74" t="str">
        <f>+'115自留(季)'!AI81</f>
        <v/>
      </c>
      <c r="L84" s="74">
        <f>SUM('115自留(季)'!T81:U81)</f>
        <v>0</v>
      </c>
      <c r="M84" s="74" t="str">
        <f>+'115自留(季)'!V81</f>
        <v/>
      </c>
      <c r="N84" s="74">
        <f>SUM('115自留(季)'!X81:Y81)</f>
        <v>0</v>
      </c>
      <c r="O84" s="74">
        <f>+'115自留(季)'!W81+'115自留(季)'!Z81+'115自留(季)'!AC81+'115自留(季)'!AD81</f>
        <v>0</v>
      </c>
      <c r="P84" s="74" t="str">
        <f>+'115自留(季)'!AA81</f>
        <v/>
      </c>
      <c r="Q84" s="74">
        <f>+'115自留(季)'!AB81+'115自留(季)'!AE81+'115自留(季)'!AF81</f>
        <v>0</v>
      </c>
      <c r="R84" s="74">
        <f>'115自留(季)'!AG81+'115自留(季)'!AH81</f>
        <v>0</v>
      </c>
      <c r="S84" s="74" t="str">
        <f>+'115自留(季)'!AJ81</f>
        <v/>
      </c>
      <c r="T84" s="74">
        <f t="shared" si="9"/>
        <v>0</v>
      </c>
      <c r="U84" s="81">
        <v>6.9426239E7</v>
      </c>
      <c r="V84" s="75">
        <f t="shared" si="5"/>
        <v>-1</v>
      </c>
      <c r="W84" s="24"/>
      <c r="X84" s="24"/>
      <c r="Y84" s="24"/>
      <c r="Z84" s="24"/>
    </row>
    <row r="85" ht="42.75" hidden="1" customHeight="1">
      <c r="A85" s="85"/>
      <c r="B85" s="88" t="s">
        <v>98</v>
      </c>
      <c r="C85" s="80" t="s">
        <v>94</v>
      </c>
      <c r="D85" s="74">
        <f t="shared" ref="D85:U85" si="10">SUBTOTAL(9,D66:D84)</f>
        <v>0</v>
      </c>
      <c r="E85" s="74">
        <f t="shared" si="10"/>
        <v>0</v>
      </c>
      <c r="F85" s="74">
        <f t="shared" si="10"/>
        <v>0</v>
      </c>
      <c r="G85" s="74">
        <f t="shared" si="10"/>
        <v>0</v>
      </c>
      <c r="H85" s="74">
        <f t="shared" si="10"/>
        <v>0</v>
      </c>
      <c r="I85" s="74">
        <f t="shared" si="10"/>
        <v>0</v>
      </c>
      <c r="J85" s="74">
        <f t="shared" si="10"/>
        <v>0</v>
      </c>
      <c r="K85" s="74">
        <f t="shared" si="10"/>
        <v>0</v>
      </c>
      <c r="L85" s="74">
        <f t="shared" si="10"/>
        <v>0</v>
      </c>
      <c r="M85" s="74">
        <f t="shared" si="10"/>
        <v>0</v>
      </c>
      <c r="N85" s="74">
        <f t="shared" si="10"/>
        <v>0</v>
      </c>
      <c r="O85" s="74">
        <f t="shared" si="10"/>
        <v>0</v>
      </c>
      <c r="P85" s="74">
        <f t="shared" si="10"/>
        <v>0</v>
      </c>
      <c r="Q85" s="74">
        <f t="shared" si="10"/>
        <v>0</v>
      </c>
      <c r="R85" s="74">
        <f t="shared" si="10"/>
        <v>0</v>
      </c>
      <c r="S85" s="74">
        <f t="shared" si="10"/>
        <v>0</v>
      </c>
      <c r="T85" s="74">
        <f t="shared" si="10"/>
        <v>0</v>
      </c>
      <c r="U85" s="74">
        <f t="shared" si="10"/>
        <v>0</v>
      </c>
      <c r="V85" s="75" t="str">
        <f t="shared" si="5"/>
        <v/>
      </c>
      <c r="W85" s="24"/>
      <c r="X85" s="24"/>
      <c r="Y85" s="24"/>
      <c r="Z85" s="24"/>
    </row>
    <row r="86" ht="42.75" hidden="1" customHeight="1">
      <c r="A86" s="85"/>
      <c r="B86" s="89" t="s">
        <v>124</v>
      </c>
      <c r="C86" s="90"/>
      <c r="D86" s="23">
        <f t="shared" ref="D86:J86" si="11">SUBTOTAL(9,D6:D85)</f>
        <v>2125213551</v>
      </c>
      <c r="E86" s="23">
        <f t="shared" si="11"/>
        <v>1137236236</v>
      </c>
      <c r="F86" s="23">
        <f t="shared" si="11"/>
        <v>22843198.65</v>
      </c>
      <c r="G86" s="23">
        <f t="shared" si="11"/>
        <v>12392867748</v>
      </c>
      <c r="H86" s="23">
        <f t="shared" si="11"/>
        <v>16408824052</v>
      </c>
      <c r="I86" s="23">
        <f t="shared" si="11"/>
        <v>2540297416</v>
      </c>
      <c r="J86" s="23">
        <f t="shared" si="11"/>
        <v>1636659270</v>
      </c>
      <c r="K86" s="23"/>
      <c r="L86" s="23">
        <f t="shared" ref="L86:Q86" si="12">SUBTOTAL(9,L6:L85)</f>
        <v>4160391683</v>
      </c>
      <c r="M86" s="23">
        <f t="shared" si="12"/>
        <v>1751240334</v>
      </c>
      <c r="N86" s="23">
        <f t="shared" si="12"/>
        <v>51723590.37</v>
      </c>
      <c r="O86" s="23">
        <f t="shared" si="12"/>
        <v>2882942147</v>
      </c>
      <c r="P86" s="23">
        <f t="shared" si="12"/>
        <v>5539148967</v>
      </c>
      <c r="Q86" s="23">
        <f t="shared" si="12"/>
        <v>1716384372</v>
      </c>
      <c r="R86" s="23"/>
      <c r="S86" s="23">
        <f t="shared" ref="S86:T86" si="13">SUBTOTAL(9,S6:S85)</f>
        <v>182267275.3</v>
      </c>
      <c r="T86" s="23">
        <f t="shared" si="13"/>
        <v>54058837148</v>
      </c>
      <c r="U86" s="22">
        <v>1.638443202371234E11</v>
      </c>
      <c r="V86" s="91">
        <f>IF(T86=0,"",((T86/U86)-1))</f>
        <v>-0.6700597429</v>
      </c>
      <c r="W86" s="24"/>
      <c r="X86" s="24"/>
      <c r="Y86" s="24"/>
      <c r="Z86" s="24"/>
    </row>
    <row r="87" ht="20.25" hidden="1" customHeight="1">
      <c r="A87" s="36"/>
      <c r="B87" s="92"/>
      <c r="C87" s="93"/>
      <c r="D87" s="5">
        <f t="shared" ref="D87:V87" si="14">COUNT(D26:D45)</f>
        <v>20</v>
      </c>
      <c r="E87" s="5">
        <f t="shared" si="14"/>
        <v>20</v>
      </c>
      <c r="F87" s="5">
        <f t="shared" si="14"/>
        <v>1</v>
      </c>
      <c r="G87" s="5">
        <f t="shared" si="14"/>
        <v>20</v>
      </c>
      <c r="H87" s="5">
        <f t="shared" si="14"/>
        <v>20</v>
      </c>
      <c r="I87" s="5">
        <f t="shared" si="14"/>
        <v>20</v>
      </c>
      <c r="J87" s="5">
        <f t="shared" si="14"/>
        <v>1</v>
      </c>
      <c r="K87" s="5">
        <f t="shared" si="14"/>
        <v>1</v>
      </c>
      <c r="L87" s="5">
        <f t="shared" si="14"/>
        <v>20</v>
      </c>
      <c r="M87" s="5">
        <f t="shared" si="14"/>
        <v>1</v>
      </c>
      <c r="N87" s="5">
        <f t="shared" si="14"/>
        <v>20</v>
      </c>
      <c r="O87" s="5">
        <f t="shared" si="14"/>
        <v>20</v>
      </c>
      <c r="P87" s="5">
        <f t="shared" si="14"/>
        <v>1</v>
      </c>
      <c r="Q87" s="5">
        <f t="shared" si="14"/>
        <v>20</v>
      </c>
      <c r="R87" s="5">
        <f t="shared" si="14"/>
        <v>20</v>
      </c>
      <c r="S87" s="5">
        <f t="shared" si="14"/>
        <v>1</v>
      </c>
      <c r="T87" s="94">
        <f t="shared" si="14"/>
        <v>20</v>
      </c>
      <c r="U87" s="5">
        <f t="shared" si="14"/>
        <v>20</v>
      </c>
      <c r="V87" s="41">
        <f t="shared" si="14"/>
        <v>19</v>
      </c>
      <c r="W87" s="5"/>
      <c r="X87" s="5"/>
      <c r="Y87" s="5"/>
      <c r="Z87" s="5"/>
    </row>
    <row r="88" ht="20.25" customHeight="1">
      <c r="A88" s="36"/>
      <c r="B88" s="92"/>
      <c r="C88" s="9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41"/>
      <c r="W88" s="5"/>
      <c r="X88" s="5"/>
      <c r="Y88" s="5"/>
      <c r="Z88" s="5"/>
    </row>
    <row r="89" ht="20.25" customHeight="1">
      <c r="A89" s="36"/>
      <c r="B89" s="92"/>
      <c r="C89" s="9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41"/>
      <c r="W89" s="5"/>
      <c r="X89" s="5"/>
      <c r="Y89" s="5"/>
      <c r="Z89" s="5"/>
    </row>
    <row r="90" ht="20.25" customHeight="1">
      <c r="A90" s="36"/>
      <c r="B90" s="92"/>
      <c r="C90" s="9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41"/>
      <c r="W90" s="5"/>
      <c r="X90" s="5"/>
      <c r="Y90" s="5"/>
      <c r="Z90" s="5"/>
    </row>
    <row r="91" ht="20.25" customHeight="1">
      <c r="A91" s="36"/>
      <c r="B91" s="92"/>
      <c r="C91" s="9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41"/>
      <c r="W91" s="5"/>
      <c r="X91" s="5"/>
      <c r="Y91" s="5"/>
      <c r="Z91" s="5"/>
    </row>
    <row r="92" ht="20.25" customHeight="1">
      <c r="A92" s="36"/>
      <c r="B92" s="92"/>
      <c r="C92" s="9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41"/>
      <c r="W92" s="5"/>
      <c r="X92" s="5"/>
      <c r="Y92" s="5"/>
      <c r="Z92" s="5"/>
    </row>
    <row r="93" ht="20.25" customHeight="1">
      <c r="A93" s="36"/>
      <c r="B93" s="92"/>
      <c r="C93" s="9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41"/>
      <c r="W93" s="5"/>
      <c r="X93" s="5"/>
      <c r="Y93" s="5"/>
      <c r="Z93" s="5"/>
    </row>
    <row r="94" ht="20.25" customHeight="1">
      <c r="A94" s="36"/>
      <c r="B94" s="92"/>
      <c r="C94" s="9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41"/>
      <c r="W94" s="5"/>
      <c r="X94" s="5"/>
      <c r="Y94" s="5"/>
      <c r="Z94" s="5"/>
    </row>
    <row r="95" ht="20.25" customHeight="1">
      <c r="A95" s="36"/>
      <c r="B95" s="92"/>
      <c r="C95" s="9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41"/>
      <c r="W95" s="5"/>
      <c r="X95" s="5"/>
      <c r="Y95" s="5"/>
      <c r="Z95" s="5"/>
    </row>
    <row r="96" ht="20.25" customHeight="1">
      <c r="A96" s="36"/>
      <c r="B96" s="92"/>
      <c r="C96" s="9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41"/>
      <c r="W96" s="5"/>
      <c r="X96" s="5"/>
      <c r="Y96" s="5"/>
      <c r="Z96" s="5"/>
    </row>
    <row r="97" ht="20.25" customHeight="1">
      <c r="A97" s="36"/>
      <c r="B97" s="92"/>
      <c r="C97" s="9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41"/>
      <c r="W97" s="5"/>
      <c r="X97" s="5"/>
      <c r="Y97" s="5"/>
      <c r="Z97" s="5"/>
    </row>
    <row r="98" ht="20.25" customHeight="1">
      <c r="A98" s="36"/>
      <c r="B98" s="92"/>
      <c r="C98" s="9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41"/>
      <c r="W98" s="5"/>
      <c r="X98" s="5"/>
      <c r="Y98" s="5"/>
      <c r="Z98" s="5"/>
    </row>
    <row r="99" ht="20.25" customHeight="1">
      <c r="A99" s="36"/>
      <c r="B99" s="92"/>
      <c r="C99" s="9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41"/>
      <c r="W99" s="5"/>
      <c r="X99" s="5"/>
      <c r="Y99" s="5"/>
      <c r="Z99" s="5"/>
    </row>
    <row r="100" ht="20.25" customHeight="1">
      <c r="A100" s="36"/>
      <c r="B100" s="92"/>
      <c r="C100" s="9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41"/>
      <c r="W100" s="5"/>
      <c r="X100" s="5"/>
      <c r="Y100" s="5"/>
      <c r="Z100" s="5"/>
    </row>
    <row r="101" ht="20.25" customHeight="1">
      <c r="A101" s="36"/>
      <c r="B101" s="92"/>
      <c r="C101" s="9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41"/>
      <c r="W101" s="5"/>
      <c r="X101" s="5"/>
      <c r="Y101" s="5"/>
      <c r="Z101" s="5"/>
    </row>
    <row r="102" ht="20.25" customHeight="1">
      <c r="A102" s="36"/>
      <c r="B102" s="92"/>
      <c r="C102" s="9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41"/>
      <c r="W102" s="5"/>
      <c r="X102" s="5"/>
      <c r="Y102" s="5"/>
      <c r="Z102" s="5"/>
    </row>
    <row r="103" ht="20.25" customHeight="1">
      <c r="A103" s="36"/>
      <c r="B103" s="92"/>
      <c r="C103" s="9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41"/>
      <c r="W103" s="5"/>
      <c r="X103" s="5"/>
      <c r="Y103" s="5"/>
      <c r="Z103" s="5"/>
    </row>
    <row r="104" ht="20.25" customHeight="1">
      <c r="A104" s="36"/>
      <c r="B104" s="92"/>
      <c r="C104" s="9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41"/>
      <c r="W104" s="5"/>
      <c r="X104" s="5"/>
      <c r="Y104" s="5"/>
      <c r="Z104" s="5"/>
    </row>
    <row r="105" ht="20.25" customHeight="1">
      <c r="A105" s="36"/>
      <c r="B105" s="92"/>
      <c r="C105" s="9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41"/>
      <c r="W105" s="5"/>
      <c r="X105" s="5"/>
      <c r="Y105" s="5"/>
      <c r="Z105" s="5"/>
    </row>
    <row r="106" ht="20.25" customHeight="1">
      <c r="A106" s="36"/>
      <c r="B106" s="92"/>
      <c r="C106" s="9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41"/>
      <c r="W106" s="5"/>
      <c r="X106" s="5"/>
      <c r="Y106" s="5"/>
      <c r="Z106" s="5"/>
    </row>
    <row r="107" ht="20.25" customHeight="1">
      <c r="A107" s="36"/>
      <c r="B107" s="92"/>
      <c r="C107" s="9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41"/>
      <c r="W107" s="5"/>
      <c r="X107" s="5"/>
      <c r="Y107" s="5"/>
      <c r="Z107" s="5"/>
    </row>
    <row r="108" ht="20.25" customHeight="1">
      <c r="A108" s="36"/>
      <c r="B108" s="92"/>
      <c r="C108" s="9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41"/>
      <c r="W108" s="5"/>
      <c r="X108" s="5"/>
      <c r="Y108" s="5"/>
      <c r="Z108" s="5"/>
    </row>
    <row r="109" ht="20.25" customHeight="1">
      <c r="A109" s="36"/>
      <c r="B109" s="92"/>
      <c r="C109" s="9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41"/>
      <c r="W109" s="5"/>
      <c r="X109" s="5"/>
      <c r="Y109" s="5"/>
      <c r="Z109" s="5"/>
    </row>
    <row r="110" ht="20.25" customHeight="1">
      <c r="A110" s="36"/>
      <c r="B110" s="92"/>
      <c r="C110" s="9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41"/>
      <c r="W110" s="5"/>
      <c r="X110" s="5"/>
      <c r="Y110" s="5"/>
      <c r="Z110" s="5"/>
    </row>
    <row r="111" ht="20.25" customHeight="1">
      <c r="A111" s="36"/>
      <c r="B111" s="92"/>
      <c r="C111" s="9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41"/>
      <c r="W111" s="5"/>
      <c r="X111" s="5"/>
      <c r="Y111" s="5"/>
      <c r="Z111" s="5"/>
    </row>
    <row r="112" ht="20.25" customHeight="1">
      <c r="A112" s="36"/>
      <c r="B112" s="92"/>
      <c r="C112" s="9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41"/>
      <c r="W112" s="5"/>
      <c r="X112" s="5"/>
      <c r="Y112" s="5"/>
      <c r="Z112" s="5"/>
    </row>
    <row r="113" ht="20.25" customHeight="1">
      <c r="A113" s="36"/>
      <c r="B113" s="92"/>
      <c r="C113" s="9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41"/>
      <c r="W113" s="5"/>
      <c r="X113" s="5"/>
      <c r="Y113" s="5"/>
      <c r="Z113" s="5"/>
    </row>
    <row r="114" ht="20.25" customHeight="1">
      <c r="A114" s="36"/>
      <c r="B114" s="92"/>
      <c r="C114" s="9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41"/>
      <c r="W114" s="5"/>
      <c r="X114" s="5"/>
      <c r="Y114" s="5"/>
      <c r="Z114" s="5"/>
    </row>
    <row r="115" ht="20.25" customHeight="1">
      <c r="A115" s="36"/>
      <c r="B115" s="92"/>
      <c r="C115" s="9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41"/>
      <c r="W115" s="5"/>
      <c r="X115" s="5"/>
      <c r="Y115" s="5"/>
      <c r="Z115" s="5"/>
    </row>
    <row r="116" ht="20.25" customHeight="1">
      <c r="A116" s="36"/>
      <c r="B116" s="92"/>
      <c r="C116" s="9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41"/>
      <c r="W116" s="5"/>
      <c r="X116" s="5"/>
      <c r="Y116" s="5"/>
      <c r="Z116" s="5"/>
    </row>
    <row r="117" ht="20.25" customHeight="1">
      <c r="A117" s="36"/>
      <c r="B117" s="92"/>
      <c r="C117" s="9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41"/>
      <c r="W117" s="5"/>
      <c r="X117" s="5"/>
      <c r="Y117" s="5"/>
      <c r="Z117" s="5"/>
    </row>
    <row r="118" ht="20.25" customHeight="1">
      <c r="A118" s="36"/>
      <c r="B118" s="92"/>
      <c r="C118" s="9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41"/>
      <c r="W118" s="5"/>
      <c r="X118" s="5"/>
      <c r="Y118" s="5"/>
      <c r="Z118" s="5"/>
    </row>
    <row r="119" ht="20.25" customHeight="1">
      <c r="A119" s="36"/>
      <c r="B119" s="92"/>
      <c r="C119" s="9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41"/>
      <c r="W119" s="5"/>
      <c r="X119" s="5"/>
      <c r="Y119" s="5"/>
      <c r="Z119" s="5"/>
    </row>
    <row r="120" ht="20.25" customHeight="1">
      <c r="A120" s="36"/>
      <c r="B120" s="92"/>
      <c r="C120" s="9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41"/>
      <c r="W120" s="5"/>
      <c r="X120" s="5"/>
      <c r="Y120" s="5"/>
      <c r="Z120" s="5"/>
    </row>
    <row r="121" ht="20.25" customHeight="1">
      <c r="A121" s="36"/>
      <c r="B121" s="92"/>
      <c r="C121" s="9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41"/>
      <c r="W121" s="5"/>
      <c r="X121" s="5"/>
      <c r="Y121" s="5"/>
      <c r="Z121" s="5"/>
    </row>
    <row r="122" ht="20.25" customHeight="1">
      <c r="A122" s="36"/>
      <c r="B122" s="92"/>
      <c r="C122" s="9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41"/>
      <c r="W122" s="5"/>
      <c r="X122" s="5"/>
      <c r="Y122" s="5"/>
      <c r="Z122" s="5"/>
    </row>
    <row r="123" ht="20.25" customHeight="1">
      <c r="A123" s="36"/>
      <c r="B123" s="92"/>
      <c r="C123" s="9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41"/>
      <c r="W123" s="5"/>
      <c r="X123" s="5"/>
      <c r="Y123" s="5"/>
      <c r="Z123" s="5"/>
    </row>
    <row r="124" ht="20.25" customHeight="1">
      <c r="A124" s="36"/>
      <c r="B124" s="92"/>
      <c r="C124" s="9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41"/>
      <c r="W124" s="5"/>
      <c r="X124" s="5"/>
      <c r="Y124" s="5"/>
      <c r="Z124" s="5"/>
    </row>
    <row r="125" ht="20.25" customHeight="1">
      <c r="A125" s="36"/>
      <c r="B125" s="92"/>
      <c r="C125" s="9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41"/>
      <c r="W125" s="5"/>
      <c r="X125" s="5"/>
      <c r="Y125" s="5"/>
      <c r="Z125" s="5"/>
    </row>
    <row r="126" ht="20.25" customHeight="1">
      <c r="A126" s="36"/>
      <c r="B126" s="92"/>
      <c r="C126" s="9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41"/>
      <c r="W126" s="5"/>
      <c r="X126" s="5"/>
      <c r="Y126" s="5"/>
      <c r="Z126" s="5"/>
    </row>
    <row r="127" ht="20.25" customHeight="1">
      <c r="A127" s="36"/>
      <c r="B127" s="92"/>
      <c r="C127" s="9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41"/>
      <c r="W127" s="5"/>
      <c r="X127" s="5"/>
      <c r="Y127" s="5"/>
      <c r="Z127" s="5"/>
    </row>
    <row r="128" ht="20.25" customHeight="1">
      <c r="A128" s="36"/>
      <c r="B128" s="92"/>
      <c r="C128" s="9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41"/>
      <c r="W128" s="5"/>
      <c r="X128" s="5"/>
      <c r="Y128" s="5"/>
      <c r="Z128" s="5"/>
    </row>
    <row r="129" ht="20.25" customHeight="1">
      <c r="A129" s="36"/>
      <c r="B129" s="92"/>
      <c r="C129" s="9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41"/>
      <c r="W129" s="5"/>
      <c r="X129" s="5"/>
      <c r="Y129" s="5"/>
      <c r="Z129" s="5"/>
    </row>
    <row r="130" ht="20.25" customHeight="1">
      <c r="A130" s="36"/>
      <c r="B130" s="92"/>
      <c r="C130" s="9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41"/>
      <c r="W130" s="5"/>
      <c r="X130" s="5"/>
      <c r="Y130" s="5"/>
      <c r="Z130" s="5"/>
    </row>
    <row r="131" ht="20.25" customHeight="1">
      <c r="A131" s="36"/>
      <c r="B131" s="92"/>
      <c r="C131" s="9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41"/>
      <c r="W131" s="5"/>
      <c r="X131" s="5"/>
      <c r="Y131" s="5"/>
      <c r="Z131" s="5"/>
    </row>
    <row r="132" ht="20.25" customHeight="1">
      <c r="A132" s="36"/>
      <c r="B132" s="92"/>
      <c r="C132" s="9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41"/>
      <c r="W132" s="5"/>
      <c r="X132" s="5"/>
      <c r="Y132" s="5"/>
      <c r="Z132" s="5"/>
    </row>
    <row r="133" ht="20.25" customHeight="1">
      <c r="A133" s="36"/>
      <c r="B133" s="92"/>
      <c r="C133" s="9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41"/>
      <c r="W133" s="5"/>
      <c r="X133" s="5"/>
      <c r="Y133" s="5"/>
      <c r="Z133" s="5"/>
    </row>
    <row r="134" ht="20.25" customHeight="1">
      <c r="A134" s="36"/>
      <c r="B134" s="92"/>
      <c r="C134" s="9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41"/>
      <c r="W134" s="5"/>
      <c r="X134" s="5"/>
      <c r="Y134" s="5"/>
      <c r="Z134" s="5"/>
    </row>
    <row r="135" ht="20.25" customHeight="1">
      <c r="A135" s="36"/>
      <c r="B135" s="92"/>
      <c r="C135" s="9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41"/>
      <c r="W135" s="5"/>
      <c r="X135" s="5"/>
      <c r="Y135" s="5"/>
      <c r="Z135" s="5"/>
    </row>
    <row r="136" ht="20.25" customHeight="1">
      <c r="A136" s="36"/>
      <c r="B136" s="92"/>
      <c r="C136" s="9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41"/>
      <c r="W136" s="5"/>
      <c r="X136" s="5"/>
      <c r="Y136" s="5"/>
      <c r="Z136" s="5"/>
    </row>
    <row r="137" ht="20.25" customHeight="1">
      <c r="A137" s="36"/>
      <c r="B137" s="92"/>
      <c r="C137" s="9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41"/>
      <c r="W137" s="5"/>
      <c r="X137" s="5"/>
      <c r="Y137" s="5"/>
      <c r="Z137" s="5"/>
    </row>
    <row r="138" ht="20.25" customHeight="1">
      <c r="A138" s="36"/>
      <c r="B138" s="92"/>
      <c r="C138" s="9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41"/>
      <c r="W138" s="5"/>
      <c r="X138" s="5"/>
      <c r="Y138" s="5"/>
      <c r="Z138" s="5"/>
    </row>
    <row r="139" ht="20.25" customHeight="1">
      <c r="A139" s="36"/>
      <c r="B139" s="92"/>
      <c r="C139" s="9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41"/>
      <c r="W139" s="5"/>
      <c r="X139" s="5"/>
      <c r="Y139" s="5"/>
      <c r="Z139" s="5"/>
    </row>
    <row r="140" ht="20.25" customHeight="1">
      <c r="A140" s="36"/>
      <c r="B140" s="92"/>
      <c r="C140" s="9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41"/>
      <c r="W140" s="5"/>
      <c r="X140" s="5"/>
      <c r="Y140" s="5"/>
      <c r="Z140" s="5"/>
    </row>
    <row r="141" ht="20.25" customHeight="1">
      <c r="A141" s="36"/>
      <c r="B141" s="92"/>
      <c r="C141" s="9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41"/>
      <c r="W141" s="5"/>
      <c r="X141" s="5"/>
      <c r="Y141" s="5"/>
      <c r="Z141" s="5"/>
    </row>
    <row r="142" ht="20.25" customHeight="1">
      <c r="A142" s="36"/>
      <c r="B142" s="92"/>
      <c r="C142" s="9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41"/>
      <c r="W142" s="5"/>
      <c r="X142" s="5"/>
      <c r="Y142" s="5"/>
      <c r="Z142" s="5"/>
    </row>
    <row r="143" ht="20.25" customHeight="1">
      <c r="A143" s="36"/>
      <c r="B143" s="92"/>
      <c r="C143" s="9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41"/>
      <c r="W143" s="5"/>
      <c r="X143" s="5"/>
      <c r="Y143" s="5"/>
      <c r="Z143" s="5"/>
    </row>
    <row r="144" ht="20.25" customHeight="1">
      <c r="A144" s="36"/>
      <c r="B144" s="92"/>
      <c r="C144" s="9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41"/>
      <c r="W144" s="5"/>
      <c r="X144" s="5"/>
      <c r="Y144" s="5"/>
      <c r="Z144" s="5"/>
    </row>
    <row r="145" ht="20.25" customHeight="1">
      <c r="A145" s="36"/>
      <c r="B145" s="92"/>
      <c r="C145" s="9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41"/>
      <c r="W145" s="5"/>
      <c r="X145" s="5"/>
      <c r="Y145" s="5"/>
      <c r="Z145" s="5"/>
    </row>
    <row r="146" ht="20.25" customHeight="1">
      <c r="A146" s="36"/>
      <c r="B146" s="92"/>
      <c r="C146" s="9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41"/>
      <c r="W146" s="5"/>
      <c r="X146" s="5"/>
      <c r="Y146" s="5"/>
      <c r="Z146" s="5"/>
    </row>
    <row r="147" ht="20.25" customHeight="1">
      <c r="A147" s="36"/>
      <c r="B147" s="92"/>
      <c r="C147" s="9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41"/>
      <c r="W147" s="5"/>
      <c r="X147" s="5"/>
      <c r="Y147" s="5"/>
      <c r="Z147" s="5"/>
    </row>
    <row r="148" ht="20.25" customHeight="1">
      <c r="A148" s="36"/>
      <c r="B148" s="92"/>
      <c r="C148" s="9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41"/>
      <c r="W148" s="5"/>
      <c r="X148" s="5"/>
      <c r="Y148" s="5"/>
      <c r="Z148" s="5"/>
    </row>
    <row r="149" ht="20.25" customHeight="1">
      <c r="A149" s="36"/>
      <c r="B149" s="92"/>
      <c r="C149" s="9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41"/>
      <c r="W149" s="5"/>
      <c r="X149" s="5"/>
      <c r="Y149" s="5"/>
      <c r="Z149" s="5"/>
    </row>
    <row r="150" ht="20.25" customHeight="1">
      <c r="A150" s="36"/>
      <c r="B150" s="92"/>
      <c r="C150" s="9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41"/>
      <c r="W150" s="5"/>
      <c r="X150" s="5"/>
      <c r="Y150" s="5"/>
      <c r="Z150" s="5"/>
    </row>
    <row r="151" ht="20.25" customHeight="1">
      <c r="A151" s="36"/>
      <c r="B151" s="92"/>
      <c r="C151" s="9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41"/>
      <c r="W151" s="5"/>
      <c r="X151" s="5"/>
      <c r="Y151" s="5"/>
      <c r="Z151" s="5"/>
    </row>
    <row r="152" ht="20.25" customHeight="1">
      <c r="A152" s="36"/>
      <c r="B152" s="92"/>
      <c r="C152" s="9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41"/>
      <c r="W152" s="5"/>
      <c r="X152" s="5"/>
      <c r="Y152" s="5"/>
      <c r="Z152" s="5"/>
    </row>
    <row r="153" ht="20.25" customHeight="1">
      <c r="A153" s="36"/>
      <c r="B153" s="92"/>
      <c r="C153" s="9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41"/>
      <c r="W153" s="5"/>
      <c r="X153" s="5"/>
      <c r="Y153" s="5"/>
      <c r="Z153" s="5"/>
    </row>
    <row r="154" ht="20.25" customHeight="1">
      <c r="A154" s="36"/>
      <c r="B154" s="92"/>
      <c r="C154" s="9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41"/>
      <c r="W154" s="5"/>
      <c r="X154" s="5"/>
      <c r="Y154" s="5"/>
      <c r="Z154" s="5"/>
    </row>
    <row r="155" ht="20.25" customHeight="1">
      <c r="A155" s="36"/>
      <c r="B155" s="92"/>
      <c r="C155" s="9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41"/>
      <c r="W155" s="5"/>
      <c r="X155" s="5"/>
      <c r="Y155" s="5"/>
      <c r="Z155" s="5"/>
    </row>
    <row r="156" ht="20.25" customHeight="1">
      <c r="A156" s="36"/>
      <c r="B156" s="92"/>
      <c r="C156" s="9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41"/>
      <c r="W156" s="5"/>
      <c r="X156" s="5"/>
      <c r="Y156" s="5"/>
      <c r="Z156" s="5"/>
    </row>
    <row r="157" ht="20.25" customHeight="1">
      <c r="A157" s="36"/>
      <c r="B157" s="92"/>
      <c r="C157" s="9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41"/>
      <c r="W157" s="5"/>
      <c r="X157" s="5"/>
      <c r="Y157" s="5"/>
      <c r="Z157" s="5"/>
    </row>
    <row r="158" ht="20.25" customHeight="1">
      <c r="A158" s="36"/>
      <c r="B158" s="92"/>
      <c r="C158" s="9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41"/>
      <c r="W158" s="5"/>
      <c r="X158" s="5"/>
      <c r="Y158" s="5"/>
      <c r="Z158" s="5"/>
    </row>
    <row r="159" ht="20.25" customHeight="1">
      <c r="A159" s="36"/>
      <c r="B159" s="92"/>
      <c r="C159" s="9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41"/>
      <c r="W159" s="5"/>
      <c r="X159" s="5"/>
      <c r="Y159" s="5"/>
      <c r="Z159" s="5"/>
    </row>
    <row r="160" ht="20.25" customHeight="1">
      <c r="A160" s="36"/>
      <c r="B160" s="92"/>
      <c r="C160" s="9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41"/>
      <c r="W160" s="5"/>
      <c r="X160" s="5"/>
      <c r="Y160" s="5"/>
      <c r="Z160" s="5"/>
    </row>
    <row r="161" ht="20.25" customHeight="1">
      <c r="A161" s="36"/>
      <c r="B161" s="92"/>
      <c r="C161" s="9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41"/>
      <c r="W161" s="5"/>
      <c r="X161" s="5"/>
      <c r="Y161" s="5"/>
      <c r="Z161" s="5"/>
    </row>
    <row r="162" ht="20.25" customHeight="1">
      <c r="A162" s="36"/>
      <c r="B162" s="92"/>
      <c r="C162" s="9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41"/>
      <c r="W162" s="5"/>
      <c r="X162" s="5"/>
      <c r="Y162" s="5"/>
      <c r="Z162" s="5"/>
    </row>
    <row r="163" ht="20.25" customHeight="1">
      <c r="A163" s="36"/>
      <c r="B163" s="92"/>
      <c r="C163" s="9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41"/>
      <c r="W163" s="5"/>
      <c r="X163" s="5"/>
      <c r="Y163" s="5"/>
      <c r="Z163" s="5"/>
    </row>
    <row r="164" ht="20.25" customHeight="1">
      <c r="A164" s="36"/>
      <c r="B164" s="92"/>
      <c r="C164" s="9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41"/>
      <c r="W164" s="5"/>
      <c r="X164" s="5"/>
      <c r="Y164" s="5"/>
      <c r="Z164" s="5"/>
    </row>
    <row r="165" ht="20.25" customHeight="1">
      <c r="A165" s="36"/>
      <c r="B165" s="92"/>
      <c r="C165" s="9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41"/>
      <c r="W165" s="5"/>
      <c r="X165" s="5"/>
      <c r="Y165" s="5"/>
      <c r="Z165" s="5"/>
    </row>
    <row r="166" ht="20.25" customHeight="1">
      <c r="A166" s="36"/>
      <c r="B166" s="92"/>
      <c r="C166" s="9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41"/>
      <c r="W166" s="5"/>
      <c r="X166" s="5"/>
      <c r="Y166" s="5"/>
      <c r="Z166" s="5"/>
    </row>
    <row r="167" ht="20.25" customHeight="1">
      <c r="A167" s="36"/>
      <c r="B167" s="92"/>
      <c r="C167" s="9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41"/>
      <c r="W167" s="5"/>
      <c r="X167" s="5"/>
      <c r="Y167" s="5"/>
      <c r="Z167" s="5"/>
    </row>
    <row r="168" ht="20.25" customHeight="1">
      <c r="A168" s="36"/>
      <c r="B168" s="92"/>
      <c r="C168" s="9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41"/>
      <c r="W168" s="5"/>
      <c r="X168" s="5"/>
      <c r="Y168" s="5"/>
      <c r="Z168" s="5"/>
    </row>
    <row r="169" ht="20.25" customHeight="1">
      <c r="A169" s="36"/>
      <c r="B169" s="92"/>
      <c r="C169" s="9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41"/>
      <c r="W169" s="5"/>
      <c r="X169" s="5"/>
      <c r="Y169" s="5"/>
      <c r="Z169" s="5"/>
    </row>
    <row r="170" ht="20.25" customHeight="1">
      <c r="A170" s="36"/>
      <c r="B170" s="92"/>
      <c r="C170" s="9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41"/>
      <c r="W170" s="5"/>
      <c r="X170" s="5"/>
      <c r="Y170" s="5"/>
      <c r="Z170" s="5"/>
    </row>
    <row r="171" ht="20.25" customHeight="1">
      <c r="A171" s="36"/>
      <c r="B171" s="92"/>
      <c r="C171" s="9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41"/>
      <c r="W171" s="5"/>
      <c r="X171" s="5"/>
      <c r="Y171" s="5"/>
      <c r="Z171" s="5"/>
    </row>
    <row r="172" ht="20.25" customHeight="1">
      <c r="A172" s="36"/>
      <c r="B172" s="92"/>
      <c r="C172" s="9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41"/>
      <c r="W172" s="5"/>
      <c r="X172" s="5"/>
      <c r="Y172" s="5"/>
      <c r="Z172" s="5"/>
    </row>
    <row r="173" ht="20.25" customHeight="1">
      <c r="A173" s="36"/>
      <c r="B173" s="92"/>
      <c r="C173" s="9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41"/>
      <c r="W173" s="5"/>
      <c r="X173" s="5"/>
      <c r="Y173" s="5"/>
      <c r="Z173" s="5"/>
    </row>
    <row r="174" ht="20.25" customHeight="1">
      <c r="A174" s="36"/>
      <c r="B174" s="92"/>
      <c r="C174" s="9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41"/>
      <c r="W174" s="5"/>
      <c r="X174" s="5"/>
      <c r="Y174" s="5"/>
      <c r="Z174" s="5"/>
    </row>
    <row r="175" ht="20.25" customHeight="1">
      <c r="A175" s="36"/>
      <c r="B175" s="92"/>
      <c r="C175" s="9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41"/>
      <c r="W175" s="5"/>
      <c r="X175" s="5"/>
      <c r="Y175" s="5"/>
      <c r="Z175" s="5"/>
    </row>
    <row r="176" ht="20.25" customHeight="1">
      <c r="A176" s="36"/>
      <c r="B176" s="92"/>
      <c r="C176" s="9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41"/>
      <c r="W176" s="5"/>
      <c r="X176" s="5"/>
      <c r="Y176" s="5"/>
      <c r="Z176" s="5"/>
    </row>
    <row r="177" ht="20.25" customHeight="1">
      <c r="A177" s="36"/>
      <c r="B177" s="92"/>
      <c r="C177" s="9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41"/>
      <c r="W177" s="5"/>
      <c r="X177" s="5"/>
      <c r="Y177" s="5"/>
      <c r="Z177" s="5"/>
    </row>
    <row r="178" ht="20.25" customHeight="1">
      <c r="A178" s="36"/>
      <c r="B178" s="92"/>
      <c r="C178" s="9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41"/>
      <c r="W178" s="5"/>
      <c r="X178" s="5"/>
      <c r="Y178" s="5"/>
      <c r="Z178" s="5"/>
    </row>
    <row r="179" ht="20.25" customHeight="1">
      <c r="A179" s="36"/>
      <c r="B179" s="92"/>
      <c r="C179" s="9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41"/>
      <c r="W179" s="5"/>
      <c r="X179" s="5"/>
      <c r="Y179" s="5"/>
      <c r="Z179" s="5"/>
    </row>
    <row r="180" ht="20.25" customHeight="1">
      <c r="A180" s="36"/>
      <c r="B180" s="92"/>
      <c r="C180" s="9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41"/>
      <c r="W180" s="5"/>
      <c r="X180" s="5"/>
      <c r="Y180" s="5"/>
      <c r="Z180" s="5"/>
    </row>
    <row r="181" ht="20.25" customHeight="1">
      <c r="A181" s="36"/>
      <c r="B181" s="92"/>
      <c r="C181" s="9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41"/>
      <c r="W181" s="5"/>
      <c r="X181" s="5"/>
      <c r="Y181" s="5"/>
      <c r="Z181" s="5"/>
    </row>
    <row r="182" ht="20.25" customHeight="1">
      <c r="A182" s="36"/>
      <c r="B182" s="92"/>
      <c r="C182" s="9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41"/>
      <c r="W182" s="5"/>
      <c r="X182" s="5"/>
      <c r="Y182" s="5"/>
      <c r="Z182" s="5"/>
    </row>
    <row r="183" ht="20.25" customHeight="1">
      <c r="A183" s="36"/>
      <c r="B183" s="92"/>
      <c r="C183" s="9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41"/>
      <c r="W183" s="5"/>
      <c r="X183" s="5"/>
      <c r="Y183" s="5"/>
      <c r="Z183" s="5"/>
    </row>
    <row r="184" ht="20.25" customHeight="1">
      <c r="A184" s="36"/>
      <c r="B184" s="92"/>
      <c r="C184" s="9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41"/>
      <c r="W184" s="5"/>
      <c r="X184" s="5"/>
      <c r="Y184" s="5"/>
      <c r="Z184" s="5"/>
    </row>
    <row r="185" ht="20.25" customHeight="1">
      <c r="A185" s="36"/>
      <c r="B185" s="92"/>
      <c r="C185" s="9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41"/>
      <c r="W185" s="5"/>
      <c r="X185" s="5"/>
      <c r="Y185" s="5"/>
      <c r="Z185" s="5"/>
    </row>
    <row r="186" ht="20.25" customHeight="1">
      <c r="A186" s="36"/>
      <c r="B186" s="92"/>
      <c r="C186" s="9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41"/>
      <c r="W186" s="5"/>
      <c r="X186" s="5"/>
      <c r="Y186" s="5"/>
      <c r="Z186" s="5"/>
    </row>
    <row r="187" ht="20.25" customHeight="1">
      <c r="A187" s="36"/>
      <c r="B187" s="92"/>
      <c r="C187" s="9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41"/>
      <c r="W187" s="5"/>
      <c r="X187" s="5"/>
      <c r="Y187" s="5"/>
      <c r="Z187" s="5"/>
    </row>
    <row r="188" ht="20.25" customHeight="1">
      <c r="A188" s="36"/>
      <c r="B188" s="92"/>
      <c r="C188" s="9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41"/>
      <c r="W188" s="5"/>
      <c r="X188" s="5"/>
      <c r="Y188" s="5"/>
      <c r="Z188" s="5"/>
    </row>
    <row r="189" ht="20.25" customHeight="1">
      <c r="A189" s="36"/>
      <c r="B189" s="92"/>
      <c r="C189" s="9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41"/>
      <c r="W189" s="5"/>
      <c r="X189" s="5"/>
      <c r="Y189" s="5"/>
      <c r="Z189" s="5"/>
    </row>
    <row r="190" ht="20.25" customHeight="1">
      <c r="A190" s="36"/>
      <c r="B190" s="92"/>
      <c r="C190" s="9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41"/>
      <c r="W190" s="5"/>
      <c r="X190" s="5"/>
      <c r="Y190" s="5"/>
      <c r="Z190" s="5"/>
    </row>
    <row r="191" ht="20.25" customHeight="1">
      <c r="A191" s="36"/>
      <c r="B191" s="92"/>
      <c r="C191" s="9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41"/>
      <c r="W191" s="5"/>
      <c r="X191" s="5"/>
      <c r="Y191" s="5"/>
      <c r="Z191" s="5"/>
    </row>
    <row r="192" ht="20.25" customHeight="1">
      <c r="A192" s="36"/>
      <c r="B192" s="92"/>
      <c r="C192" s="9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41"/>
      <c r="W192" s="5"/>
      <c r="X192" s="5"/>
      <c r="Y192" s="5"/>
      <c r="Z192" s="5"/>
    </row>
    <row r="193" ht="20.25" customHeight="1">
      <c r="A193" s="36"/>
      <c r="B193" s="92"/>
      <c r="C193" s="9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41"/>
      <c r="W193" s="5"/>
      <c r="X193" s="5"/>
      <c r="Y193" s="5"/>
      <c r="Z193" s="5"/>
    </row>
    <row r="194" ht="20.25" customHeight="1">
      <c r="A194" s="36"/>
      <c r="B194" s="92"/>
      <c r="C194" s="9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41"/>
      <c r="W194" s="5"/>
      <c r="X194" s="5"/>
      <c r="Y194" s="5"/>
      <c r="Z194" s="5"/>
    </row>
    <row r="195" ht="20.25" customHeight="1">
      <c r="A195" s="36"/>
      <c r="B195" s="92"/>
      <c r="C195" s="9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41"/>
      <c r="W195" s="5"/>
      <c r="X195" s="5"/>
      <c r="Y195" s="5"/>
      <c r="Z195" s="5"/>
    </row>
    <row r="196" ht="20.25" customHeight="1">
      <c r="A196" s="36"/>
      <c r="B196" s="92"/>
      <c r="C196" s="9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41"/>
      <c r="W196" s="5"/>
      <c r="X196" s="5"/>
      <c r="Y196" s="5"/>
      <c r="Z196" s="5"/>
    </row>
    <row r="197" ht="20.25" customHeight="1">
      <c r="A197" s="36"/>
      <c r="B197" s="92"/>
      <c r="C197" s="9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41"/>
      <c r="W197" s="5"/>
      <c r="X197" s="5"/>
      <c r="Y197" s="5"/>
      <c r="Z197" s="5"/>
    </row>
    <row r="198" ht="20.25" customHeight="1">
      <c r="A198" s="36"/>
      <c r="B198" s="92"/>
      <c r="C198" s="9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41"/>
      <c r="W198" s="5"/>
      <c r="X198" s="5"/>
      <c r="Y198" s="5"/>
      <c r="Z198" s="5"/>
    </row>
    <row r="199" ht="20.25" customHeight="1">
      <c r="A199" s="36"/>
      <c r="B199" s="92"/>
      <c r="C199" s="9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41"/>
      <c r="W199" s="5"/>
      <c r="X199" s="5"/>
      <c r="Y199" s="5"/>
      <c r="Z199" s="5"/>
    </row>
    <row r="200" ht="20.25" customHeight="1">
      <c r="A200" s="36"/>
      <c r="B200" s="92"/>
      <c r="C200" s="9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41"/>
      <c r="W200" s="5"/>
      <c r="X200" s="5"/>
      <c r="Y200" s="5"/>
      <c r="Z200" s="5"/>
    </row>
    <row r="201" ht="20.25" customHeight="1">
      <c r="A201" s="36"/>
      <c r="B201" s="92"/>
      <c r="C201" s="9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41"/>
      <c r="W201" s="5"/>
      <c r="X201" s="5"/>
      <c r="Y201" s="5"/>
      <c r="Z201" s="5"/>
    </row>
    <row r="202" ht="20.25" customHeight="1">
      <c r="A202" s="36"/>
      <c r="B202" s="92"/>
      <c r="C202" s="9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41"/>
      <c r="W202" s="5"/>
      <c r="X202" s="5"/>
      <c r="Y202" s="5"/>
      <c r="Z202" s="5"/>
    </row>
    <row r="203" ht="20.25" customHeight="1">
      <c r="A203" s="36"/>
      <c r="B203" s="92"/>
      <c r="C203" s="9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41"/>
      <c r="W203" s="5"/>
      <c r="X203" s="5"/>
      <c r="Y203" s="5"/>
      <c r="Z203" s="5"/>
    </row>
    <row r="204" ht="20.25" customHeight="1">
      <c r="A204" s="36"/>
      <c r="B204" s="92"/>
      <c r="C204" s="9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41"/>
      <c r="W204" s="5"/>
      <c r="X204" s="5"/>
      <c r="Y204" s="5"/>
      <c r="Z204" s="5"/>
    </row>
    <row r="205" ht="20.25" customHeight="1">
      <c r="A205" s="36"/>
      <c r="B205" s="92"/>
      <c r="C205" s="9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41"/>
      <c r="W205" s="5"/>
      <c r="X205" s="5"/>
      <c r="Y205" s="5"/>
      <c r="Z205" s="5"/>
    </row>
    <row r="206" ht="20.25" customHeight="1">
      <c r="A206" s="36"/>
      <c r="B206" s="92"/>
      <c r="C206" s="9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41"/>
      <c r="W206" s="5"/>
      <c r="X206" s="5"/>
      <c r="Y206" s="5"/>
      <c r="Z206" s="5"/>
    </row>
    <row r="207" ht="20.25" customHeight="1">
      <c r="A207" s="36"/>
      <c r="B207" s="92"/>
      <c r="C207" s="9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41"/>
      <c r="W207" s="5"/>
      <c r="X207" s="5"/>
      <c r="Y207" s="5"/>
      <c r="Z207" s="5"/>
    </row>
    <row r="208" ht="20.25" customHeight="1">
      <c r="A208" s="36"/>
      <c r="B208" s="92"/>
      <c r="C208" s="9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41"/>
      <c r="W208" s="5"/>
      <c r="X208" s="5"/>
      <c r="Y208" s="5"/>
      <c r="Z208" s="5"/>
    </row>
    <row r="209" ht="20.25" customHeight="1">
      <c r="A209" s="36"/>
      <c r="B209" s="92"/>
      <c r="C209" s="9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41"/>
      <c r="W209" s="5"/>
      <c r="X209" s="5"/>
      <c r="Y209" s="5"/>
      <c r="Z209" s="5"/>
    </row>
    <row r="210" ht="20.25" customHeight="1">
      <c r="A210" s="36"/>
      <c r="B210" s="92"/>
      <c r="C210" s="9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41"/>
      <c r="W210" s="5"/>
      <c r="X210" s="5"/>
      <c r="Y210" s="5"/>
      <c r="Z210" s="5"/>
    </row>
    <row r="211" ht="20.25" customHeight="1">
      <c r="A211" s="36"/>
      <c r="B211" s="92"/>
      <c r="C211" s="9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41"/>
      <c r="W211" s="5"/>
      <c r="X211" s="5"/>
      <c r="Y211" s="5"/>
      <c r="Z211" s="5"/>
    </row>
    <row r="212" ht="20.25" customHeight="1">
      <c r="A212" s="36"/>
      <c r="B212" s="92"/>
      <c r="C212" s="9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41"/>
      <c r="W212" s="5"/>
      <c r="X212" s="5"/>
      <c r="Y212" s="5"/>
      <c r="Z212" s="5"/>
    </row>
    <row r="213" ht="20.25" customHeight="1">
      <c r="A213" s="36"/>
      <c r="B213" s="92"/>
      <c r="C213" s="9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41"/>
      <c r="W213" s="5"/>
      <c r="X213" s="5"/>
      <c r="Y213" s="5"/>
      <c r="Z213" s="5"/>
    </row>
    <row r="214" ht="20.25" customHeight="1">
      <c r="A214" s="36"/>
      <c r="B214" s="92"/>
      <c r="C214" s="9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41"/>
      <c r="W214" s="5"/>
      <c r="X214" s="5"/>
      <c r="Y214" s="5"/>
      <c r="Z214" s="5"/>
    </row>
    <row r="215" ht="20.25" customHeight="1">
      <c r="A215" s="36"/>
      <c r="B215" s="92"/>
      <c r="C215" s="9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41"/>
      <c r="W215" s="5"/>
      <c r="X215" s="5"/>
      <c r="Y215" s="5"/>
      <c r="Z215" s="5"/>
    </row>
    <row r="216" ht="20.25" customHeight="1">
      <c r="A216" s="36"/>
      <c r="B216" s="92"/>
      <c r="C216" s="9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41"/>
      <c r="W216" s="5"/>
      <c r="X216" s="5"/>
      <c r="Y216" s="5"/>
      <c r="Z216" s="5"/>
    </row>
    <row r="217" ht="20.25" customHeight="1">
      <c r="A217" s="36"/>
      <c r="B217" s="92"/>
      <c r="C217" s="9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41"/>
      <c r="W217" s="5"/>
      <c r="X217" s="5"/>
      <c r="Y217" s="5"/>
      <c r="Z217" s="5"/>
    </row>
    <row r="218" ht="20.25" customHeight="1">
      <c r="A218" s="36"/>
      <c r="B218" s="92"/>
      <c r="C218" s="9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41"/>
      <c r="W218" s="5"/>
      <c r="X218" s="5"/>
      <c r="Y218" s="5"/>
      <c r="Z218" s="5"/>
    </row>
    <row r="219" ht="20.25" customHeight="1">
      <c r="A219" s="36"/>
      <c r="B219" s="92"/>
      <c r="C219" s="9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41"/>
      <c r="W219" s="5"/>
      <c r="X219" s="5"/>
      <c r="Y219" s="5"/>
      <c r="Z219" s="5"/>
    </row>
    <row r="220" ht="20.25" customHeight="1">
      <c r="A220" s="36"/>
      <c r="B220" s="92"/>
      <c r="C220" s="9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41"/>
      <c r="W220" s="5"/>
      <c r="X220" s="5"/>
      <c r="Y220" s="5"/>
      <c r="Z220" s="5"/>
    </row>
    <row r="221" ht="20.25" customHeight="1">
      <c r="A221" s="36"/>
      <c r="B221" s="92"/>
      <c r="C221" s="9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41"/>
      <c r="W221" s="5"/>
      <c r="X221" s="5"/>
      <c r="Y221" s="5"/>
      <c r="Z221" s="5"/>
    </row>
    <row r="222" ht="20.25" customHeight="1">
      <c r="A222" s="36"/>
      <c r="B222" s="92"/>
      <c r="C222" s="9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41"/>
      <c r="W222" s="5"/>
      <c r="X222" s="5"/>
      <c r="Y222" s="5"/>
      <c r="Z222" s="5"/>
    </row>
    <row r="223" ht="20.25" customHeight="1">
      <c r="A223" s="36"/>
      <c r="B223" s="92"/>
      <c r="C223" s="9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41"/>
      <c r="W223" s="5"/>
      <c r="X223" s="5"/>
      <c r="Y223" s="5"/>
      <c r="Z223" s="5"/>
    </row>
    <row r="224" ht="20.25" customHeight="1">
      <c r="A224" s="36"/>
      <c r="B224" s="92"/>
      <c r="C224" s="9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41"/>
      <c r="W224" s="5"/>
      <c r="X224" s="5"/>
      <c r="Y224" s="5"/>
      <c r="Z224" s="5"/>
    </row>
    <row r="225" ht="20.25" customHeight="1">
      <c r="A225" s="36"/>
      <c r="B225" s="92"/>
      <c r="C225" s="9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41"/>
      <c r="W225" s="5"/>
      <c r="X225" s="5"/>
      <c r="Y225" s="5"/>
      <c r="Z225" s="5"/>
    </row>
    <row r="226" ht="20.25" customHeight="1">
      <c r="A226" s="36"/>
      <c r="B226" s="92"/>
      <c r="C226" s="9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41"/>
      <c r="W226" s="5"/>
      <c r="X226" s="5"/>
      <c r="Y226" s="5"/>
      <c r="Z226" s="5"/>
    </row>
    <row r="227" ht="20.25" customHeight="1">
      <c r="A227" s="36"/>
      <c r="B227" s="92"/>
      <c r="C227" s="9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41"/>
      <c r="W227" s="5"/>
      <c r="X227" s="5"/>
      <c r="Y227" s="5"/>
      <c r="Z227" s="5"/>
    </row>
    <row r="228" ht="20.25" customHeight="1">
      <c r="A228" s="36"/>
      <c r="B228" s="92"/>
      <c r="C228" s="9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41"/>
      <c r="W228" s="5"/>
      <c r="X228" s="5"/>
      <c r="Y228" s="5"/>
      <c r="Z228" s="5"/>
    </row>
    <row r="229" ht="20.25" customHeight="1">
      <c r="A229" s="36"/>
      <c r="B229" s="92"/>
      <c r="C229" s="9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41"/>
      <c r="W229" s="5"/>
      <c r="X229" s="5"/>
      <c r="Y229" s="5"/>
      <c r="Z229" s="5"/>
    </row>
    <row r="230" ht="20.25" customHeight="1">
      <c r="A230" s="36"/>
      <c r="B230" s="92"/>
      <c r="C230" s="9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41"/>
      <c r="W230" s="5"/>
      <c r="X230" s="5"/>
      <c r="Y230" s="5"/>
      <c r="Z230" s="5"/>
    </row>
    <row r="231" ht="20.25" customHeight="1">
      <c r="A231" s="36"/>
      <c r="B231" s="92"/>
      <c r="C231" s="9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41"/>
      <c r="W231" s="5"/>
      <c r="X231" s="5"/>
      <c r="Y231" s="5"/>
      <c r="Z231" s="5"/>
    </row>
    <row r="232" ht="20.25" customHeight="1">
      <c r="A232" s="36"/>
      <c r="B232" s="92"/>
      <c r="C232" s="9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41"/>
      <c r="W232" s="5"/>
      <c r="X232" s="5"/>
      <c r="Y232" s="5"/>
      <c r="Z232" s="5"/>
    </row>
    <row r="233" ht="20.25" customHeight="1">
      <c r="A233" s="36"/>
      <c r="B233" s="92"/>
      <c r="C233" s="9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41"/>
      <c r="W233" s="5"/>
      <c r="X233" s="5"/>
      <c r="Y233" s="5"/>
      <c r="Z233" s="5"/>
    </row>
    <row r="234" ht="20.25" customHeight="1">
      <c r="A234" s="36"/>
      <c r="B234" s="92"/>
      <c r="C234" s="9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41"/>
      <c r="W234" s="5"/>
      <c r="X234" s="5"/>
      <c r="Y234" s="5"/>
      <c r="Z234" s="5"/>
    </row>
    <row r="235" ht="20.25" customHeight="1">
      <c r="A235" s="36"/>
      <c r="B235" s="92"/>
      <c r="C235" s="9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41"/>
      <c r="W235" s="5"/>
      <c r="X235" s="5"/>
      <c r="Y235" s="5"/>
      <c r="Z235" s="5"/>
    </row>
    <row r="236" ht="20.25" customHeight="1">
      <c r="A236" s="36"/>
      <c r="B236" s="92"/>
      <c r="C236" s="9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41"/>
      <c r="W236" s="5"/>
      <c r="X236" s="5"/>
      <c r="Y236" s="5"/>
      <c r="Z236" s="5"/>
    </row>
    <row r="237" ht="20.25" customHeight="1">
      <c r="A237" s="36"/>
      <c r="B237" s="92"/>
      <c r="C237" s="9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41"/>
      <c r="W237" s="5"/>
      <c r="X237" s="5"/>
      <c r="Y237" s="5"/>
      <c r="Z237" s="5"/>
    </row>
    <row r="238" ht="20.25" customHeight="1">
      <c r="A238" s="36"/>
      <c r="B238" s="92"/>
      <c r="C238" s="9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41"/>
      <c r="W238" s="5"/>
      <c r="X238" s="5"/>
      <c r="Y238" s="5"/>
      <c r="Z238" s="5"/>
    </row>
    <row r="239" ht="20.25" customHeight="1">
      <c r="A239" s="36"/>
      <c r="B239" s="92"/>
      <c r="C239" s="9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41"/>
      <c r="W239" s="5"/>
      <c r="X239" s="5"/>
      <c r="Y239" s="5"/>
      <c r="Z239" s="5"/>
    </row>
    <row r="240" ht="20.25" customHeight="1">
      <c r="A240" s="36"/>
      <c r="B240" s="92"/>
      <c r="C240" s="9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41"/>
      <c r="W240" s="5"/>
      <c r="X240" s="5"/>
      <c r="Y240" s="5"/>
      <c r="Z240" s="5"/>
    </row>
    <row r="241" ht="20.25" customHeight="1">
      <c r="A241" s="36"/>
      <c r="B241" s="92"/>
      <c r="C241" s="9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41"/>
      <c r="W241" s="5"/>
      <c r="X241" s="5"/>
      <c r="Y241" s="5"/>
      <c r="Z241" s="5"/>
    </row>
    <row r="242" ht="20.25" customHeight="1">
      <c r="A242" s="36"/>
      <c r="B242" s="92"/>
      <c r="C242" s="9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41"/>
      <c r="W242" s="5"/>
      <c r="X242" s="5"/>
      <c r="Y242" s="5"/>
      <c r="Z242" s="5"/>
    </row>
    <row r="243" ht="20.25" customHeight="1">
      <c r="A243" s="36"/>
      <c r="B243" s="92"/>
      <c r="C243" s="9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41"/>
      <c r="W243" s="5"/>
      <c r="X243" s="5"/>
      <c r="Y243" s="5"/>
      <c r="Z243" s="5"/>
    </row>
    <row r="244" ht="20.25" customHeight="1">
      <c r="A244" s="36"/>
      <c r="B244" s="92"/>
      <c r="C244" s="9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41"/>
      <c r="W244" s="5"/>
      <c r="X244" s="5"/>
      <c r="Y244" s="5"/>
      <c r="Z244" s="5"/>
    </row>
    <row r="245" ht="20.25" customHeight="1">
      <c r="A245" s="36"/>
      <c r="B245" s="92"/>
      <c r="C245" s="9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41"/>
      <c r="W245" s="5"/>
      <c r="X245" s="5"/>
      <c r="Y245" s="5"/>
      <c r="Z245" s="5"/>
    </row>
    <row r="246" ht="20.25" customHeight="1">
      <c r="A246" s="36"/>
      <c r="B246" s="92"/>
      <c r="C246" s="9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41"/>
      <c r="W246" s="5"/>
      <c r="X246" s="5"/>
      <c r="Y246" s="5"/>
      <c r="Z246" s="5"/>
    </row>
    <row r="247" ht="20.25" customHeight="1">
      <c r="A247" s="36"/>
      <c r="B247" s="92"/>
      <c r="C247" s="9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41"/>
      <c r="W247" s="5"/>
      <c r="X247" s="5"/>
      <c r="Y247" s="5"/>
      <c r="Z247" s="5"/>
    </row>
    <row r="248" ht="20.25" customHeight="1">
      <c r="A248" s="36"/>
      <c r="B248" s="92"/>
      <c r="C248" s="9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41"/>
      <c r="W248" s="5"/>
      <c r="X248" s="5"/>
      <c r="Y248" s="5"/>
      <c r="Z248" s="5"/>
    </row>
    <row r="249" ht="20.25" customHeight="1">
      <c r="A249" s="36"/>
      <c r="B249" s="92"/>
      <c r="C249" s="9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41"/>
      <c r="W249" s="5"/>
      <c r="X249" s="5"/>
      <c r="Y249" s="5"/>
      <c r="Z249" s="5"/>
    </row>
    <row r="250" ht="20.25" customHeight="1">
      <c r="A250" s="36"/>
      <c r="B250" s="92"/>
      <c r="C250" s="9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41"/>
      <c r="W250" s="5"/>
      <c r="X250" s="5"/>
      <c r="Y250" s="5"/>
      <c r="Z250" s="5"/>
    </row>
    <row r="251" ht="20.25" customHeight="1">
      <c r="A251" s="36"/>
      <c r="B251" s="92"/>
      <c r="C251" s="9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41"/>
      <c r="W251" s="5"/>
      <c r="X251" s="5"/>
      <c r="Y251" s="5"/>
      <c r="Z251" s="5"/>
    </row>
    <row r="252" ht="20.25" customHeight="1">
      <c r="A252" s="36"/>
      <c r="B252" s="92"/>
      <c r="C252" s="9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41"/>
      <c r="W252" s="5"/>
      <c r="X252" s="5"/>
      <c r="Y252" s="5"/>
      <c r="Z252" s="5"/>
    </row>
    <row r="253" ht="20.25" customHeight="1">
      <c r="A253" s="36"/>
      <c r="B253" s="92"/>
      <c r="C253" s="9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41"/>
      <c r="W253" s="5"/>
      <c r="X253" s="5"/>
      <c r="Y253" s="5"/>
      <c r="Z253" s="5"/>
    </row>
    <row r="254" ht="20.25" customHeight="1">
      <c r="A254" s="36"/>
      <c r="B254" s="92"/>
      <c r="C254" s="9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41"/>
      <c r="W254" s="5"/>
      <c r="X254" s="5"/>
      <c r="Y254" s="5"/>
      <c r="Z254" s="5"/>
    </row>
    <row r="255" ht="20.25" customHeight="1">
      <c r="A255" s="36"/>
      <c r="B255" s="92"/>
      <c r="C255" s="9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41"/>
      <c r="W255" s="5"/>
      <c r="X255" s="5"/>
      <c r="Y255" s="5"/>
      <c r="Z255" s="5"/>
    </row>
    <row r="256" ht="20.25" customHeight="1">
      <c r="A256" s="36"/>
      <c r="B256" s="92"/>
      <c r="C256" s="9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41"/>
      <c r="W256" s="5"/>
      <c r="X256" s="5"/>
      <c r="Y256" s="5"/>
      <c r="Z256" s="5"/>
    </row>
    <row r="257" ht="20.25" customHeight="1">
      <c r="A257" s="36"/>
      <c r="B257" s="92"/>
      <c r="C257" s="9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41"/>
      <c r="W257" s="5"/>
      <c r="X257" s="5"/>
      <c r="Y257" s="5"/>
      <c r="Z257" s="5"/>
    </row>
    <row r="258" ht="20.25" customHeight="1">
      <c r="A258" s="36"/>
      <c r="B258" s="92"/>
      <c r="C258" s="9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41"/>
      <c r="W258" s="5"/>
      <c r="X258" s="5"/>
      <c r="Y258" s="5"/>
      <c r="Z258" s="5"/>
    </row>
    <row r="259" ht="20.25" customHeight="1">
      <c r="A259" s="36"/>
      <c r="B259" s="92"/>
      <c r="C259" s="9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41"/>
      <c r="W259" s="5"/>
      <c r="X259" s="5"/>
      <c r="Y259" s="5"/>
      <c r="Z259" s="5"/>
    </row>
    <row r="260" ht="20.25" customHeight="1">
      <c r="A260" s="36"/>
      <c r="B260" s="92"/>
      <c r="C260" s="9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41"/>
      <c r="W260" s="5"/>
      <c r="X260" s="5"/>
      <c r="Y260" s="5"/>
      <c r="Z260" s="5"/>
    </row>
    <row r="261" ht="20.25" customHeight="1">
      <c r="A261" s="36"/>
      <c r="B261" s="92"/>
      <c r="C261" s="9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41"/>
      <c r="W261" s="5"/>
      <c r="X261" s="5"/>
      <c r="Y261" s="5"/>
      <c r="Z261" s="5"/>
    </row>
    <row r="262" ht="20.25" customHeight="1">
      <c r="A262" s="36"/>
      <c r="B262" s="92"/>
      <c r="C262" s="9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41"/>
      <c r="W262" s="5"/>
      <c r="X262" s="5"/>
      <c r="Y262" s="5"/>
      <c r="Z262" s="5"/>
    </row>
    <row r="263" ht="20.25" customHeight="1">
      <c r="A263" s="36"/>
      <c r="B263" s="92"/>
      <c r="C263" s="9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41"/>
      <c r="W263" s="5"/>
      <c r="X263" s="5"/>
      <c r="Y263" s="5"/>
      <c r="Z263" s="5"/>
    </row>
    <row r="264" ht="20.25" customHeight="1">
      <c r="A264" s="36"/>
      <c r="B264" s="92"/>
      <c r="C264" s="9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41"/>
      <c r="W264" s="5"/>
      <c r="X264" s="5"/>
      <c r="Y264" s="5"/>
      <c r="Z264" s="5"/>
    </row>
    <row r="265" ht="20.25" customHeight="1">
      <c r="A265" s="36"/>
      <c r="B265" s="92"/>
      <c r="C265" s="9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41"/>
      <c r="W265" s="5"/>
      <c r="X265" s="5"/>
      <c r="Y265" s="5"/>
      <c r="Z265" s="5"/>
    </row>
    <row r="266" ht="20.25" customHeight="1">
      <c r="A266" s="36"/>
      <c r="B266" s="92"/>
      <c r="C266" s="9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41"/>
      <c r="W266" s="5"/>
      <c r="X266" s="5"/>
      <c r="Y266" s="5"/>
      <c r="Z266" s="5"/>
    </row>
    <row r="267" ht="20.25" customHeight="1">
      <c r="A267" s="36"/>
      <c r="B267" s="92"/>
      <c r="C267" s="9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41"/>
      <c r="W267" s="5"/>
      <c r="X267" s="5"/>
      <c r="Y267" s="5"/>
      <c r="Z267" s="5"/>
    </row>
    <row r="268" ht="20.25" customHeight="1">
      <c r="A268" s="36"/>
      <c r="B268" s="92"/>
      <c r="C268" s="9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41"/>
      <c r="W268" s="5"/>
      <c r="X268" s="5"/>
      <c r="Y268" s="5"/>
      <c r="Z268" s="5"/>
    </row>
    <row r="269" ht="20.25" customHeight="1">
      <c r="A269" s="36"/>
      <c r="B269" s="92"/>
      <c r="C269" s="9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41"/>
      <c r="W269" s="5"/>
      <c r="X269" s="5"/>
      <c r="Y269" s="5"/>
      <c r="Z269" s="5"/>
    </row>
    <row r="270" ht="20.25" customHeight="1">
      <c r="A270" s="36"/>
      <c r="B270" s="92"/>
      <c r="C270" s="9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41"/>
      <c r="W270" s="5"/>
      <c r="X270" s="5"/>
      <c r="Y270" s="5"/>
      <c r="Z270" s="5"/>
    </row>
    <row r="271" ht="20.25" customHeight="1">
      <c r="A271" s="36"/>
      <c r="B271" s="92"/>
      <c r="C271" s="9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41"/>
      <c r="W271" s="5"/>
      <c r="X271" s="5"/>
      <c r="Y271" s="5"/>
      <c r="Z271" s="5"/>
    </row>
    <row r="272" ht="20.25" customHeight="1">
      <c r="A272" s="36"/>
      <c r="B272" s="92"/>
      <c r="C272" s="9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41"/>
      <c r="W272" s="5"/>
      <c r="X272" s="5"/>
      <c r="Y272" s="5"/>
      <c r="Z272" s="5"/>
    </row>
    <row r="273" ht="20.25" customHeight="1">
      <c r="A273" s="36"/>
      <c r="B273" s="92"/>
      <c r="C273" s="9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41"/>
      <c r="W273" s="5"/>
      <c r="X273" s="5"/>
      <c r="Y273" s="5"/>
      <c r="Z273" s="5"/>
    </row>
    <row r="274" ht="20.25" customHeight="1">
      <c r="A274" s="36"/>
      <c r="B274" s="92"/>
      <c r="C274" s="9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41"/>
      <c r="W274" s="5"/>
      <c r="X274" s="5"/>
      <c r="Y274" s="5"/>
      <c r="Z274" s="5"/>
    </row>
    <row r="275" ht="20.25" customHeight="1">
      <c r="A275" s="36"/>
      <c r="B275" s="92"/>
      <c r="C275" s="9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41"/>
      <c r="W275" s="5"/>
      <c r="X275" s="5"/>
      <c r="Y275" s="5"/>
      <c r="Z275" s="5"/>
    </row>
    <row r="276" ht="20.25" customHeight="1">
      <c r="A276" s="36"/>
      <c r="B276" s="92"/>
      <c r="C276" s="9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41"/>
      <c r="W276" s="5"/>
      <c r="X276" s="5"/>
      <c r="Y276" s="5"/>
      <c r="Z276" s="5"/>
    </row>
    <row r="277" ht="20.25" customHeight="1">
      <c r="A277" s="36"/>
      <c r="B277" s="92"/>
      <c r="C277" s="9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41"/>
      <c r="W277" s="5"/>
      <c r="X277" s="5"/>
      <c r="Y277" s="5"/>
      <c r="Z277" s="5"/>
    </row>
    <row r="278" ht="20.25" customHeight="1">
      <c r="A278" s="36"/>
      <c r="B278" s="92"/>
      <c r="C278" s="9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41"/>
      <c r="W278" s="5"/>
      <c r="X278" s="5"/>
      <c r="Y278" s="5"/>
      <c r="Z278" s="5"/>
    </row>
    <row r="279" ht="20.25" customHeight="1">
      <c r="A279" s="36"/>
      <c r="B279" s="92"/>
      <c r="C279" s="9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41"/>
      <c r="W279" s="5"/>
      <c r="X279" s="5"/>
      <c r="Y279" s="5"/>
      <c r="Z279" s="5"/>
    </row>
    <row r="280" ht="20.25" customHeight="1">
      <c r="A280" s="36"/>
      <c r="B280" s="92"/>
      <c r="C280" s="9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41"/>
      <c r="W280" s="5"/>
      <c r="X280" s="5"/>
      <c r="Y280" s="5"/>
      <c r="Z280" s="5"/>
    </row>
    <row r="281" ht="20.25" customHeight="1">
      <c r="A281" s="36"/>
      <c r="B281" s="92"/>
      <c r="C281" s="9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41"/>
      <c r="W281" s="5"/>
      <c r="X281" s="5"/>
      <c r="Y281" s="5"/>
      <c r="Z281" s="5"/>
    </row>
    <row r="282" ht="20.25" customHeight="1">
      <c r="A282" s="36"/>
      <c r="B282" s="92"/>
      <c r="C282" s="9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41"/>
      <c r="W282" s="5"/>
      <c r="X282" s="5"/>
      <c r="Y282" s="5"/>
      <c r="Z282" s="5"/>
    </row>
    <row r="283" ht="20.25" customHeight="1">
      <c r="A283" s="36"/>
      <c r="B283" s="92"/>
      <c r="C283" s="9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41"/>
      <c r="W283" s="5"/>
      <c r="X283" s="5"/>
      <c r="Y283" s="5"/>
      <c r="Z283" s="5"/>
    </row>
    <row r="284" ht="20.25" customHeight="1">
      <c r="A284" s="36"/>
      <c r="B284" s="92"/>
      <c r="C284" s="9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41"/>
      <c r="W284" s="5"/>
      <c r="X284" s="5"/>
      <c r="Y284" s="5"/>
      <c r="Z284" s="5"/>
    </row>
    <row r="285" ht="20.25" customHeight="1">
      <c r="A285" s="36"/>
      <c r="B285" s="92"/>
      <c r="C285" s="9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41"/>
      <c r="W285" s="5"/>
      <c r="X285" s="5"/>
      <c r="Y285" s="5"/>
      <c r="Z285" s="5"/>
    </row>
    <row r="286" ht="20.25" customHeight="1">
      <c r="A286" s="36"/>
      <c r="B286" s="92"/>
      <c r="C286" s="9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41"/>
      <c r="W286" s="5"/>
      <c r="X286" s="5"/>
      <c r="Y286" s="5"/>
      <c r="Z286" s="5"/>
    </row>
    <row r="287" ht="20.25" customHeight="1">
      <c r="A287" s="36"/>
      <c r="B287" s="92"/>
      <c r="C287" s="9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41"/>
      <c r="W287" s="5"/>
      <c r="X287" s="5"/>
      <c r="Y287" s="5"/>
      <c r="Z287" s="5"/>
    </row>
    <row r="288" ht="20.25" customHeight="1">
      <c r="A288" s="36"/>
      <c r="B288" s="92"/>
      <c r="C288" s="9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41"/>
      <c r="W288" s="5"/>
      <c r="X288" s="5"/>
      <c r="Y288" s="5"/>
      <c r="Z288" s="5"/>
    </row>
    <row r="289" ht="20.25" customHeight="1">
      <c r="A289" s="36"/>
      <c r="B289" s="92"/>
      <c r="C289" s="9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41"/>
      <c r="W289" s="5"/>
      <c r="X289" s="5"/>
      <c r="Y289" s="5"/>
      <c r="Z289" s="5"/>
    </row>
    <row r="290" ht="20.25" customHeight="1">
      <c r="A290" s="36"/>
      <c r="B290" s="92"/>
      <c r="C290" s="9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41"/>
      <c r="W290" s="5"/>
      <c r="X290" s="5"/>
      <c r="Y290" s="5"/>
      <c r="Z290" s="5"/>
    </row>
    <row r="291" ht="20.25" customHeight="1">
      <c r="A291" s="36"/>
      <c r="B291" s="92"/>
      <c r="C291" s="9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41"/>
      <c r="W291" s="5"/>
      <c r="X291" s="5"/>
      <c r="Y291" s="5"/>
      <c r="Z291" s="5"/>
    </row>
    <row r="292" ht="20.25" customHeight="1">
      <c r="A292" s="36"/>
      <c r="B292" s="92"/>
      <c r="C292" s="9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41"/>
      <c r="W292" s="5"/>
      <c r="X292" s="5"/>
      <c r="Y292" s="5"/>
      <c r="Z292" s="5"/>
    </row>
    <row r="293" ht="20.25" customHeight="1">
      <c r="A293" s="36"/>
      <c r="B293" s="92"/>
      <c r="C293" s="9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41"/>
      <c r="W293" s="5"/>
      <c r="X293" s="5"/>
      <c r="Y293" s="5"/>
      <c r="Z293" s="5"/>
    </row>
    <row r="294" ht="20.25" customHeight="1">
      <c r="A294" s="36"/>
      <c r="B294" s="92"/>
      <c r="C294" s="9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41"/>
      <c r="W294" s="5"/>
      <c r="X294" s="5"/>
      <c r="Y294" s="5"/>
      <c r="Z294" s="5"/>
    </row>
    <row r="295" ht="20.25" customHeight="1">
      <c r="A295" s="36"/>
      <c r="B295" s="92"/>
      <c r="C295" s="9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41"/>
      <c r="W295" s="5"/>
      <c r="X295" s="5"/>
      <c r="Y295" s="5"/>
      <c r="Z295" s="5"/>
    </row>
    <row r="296" ht="20.25" customHeight="1">
      <c r="A296" s="36"/>
      <c r="B296" s="92"/>
      <c r="C296" s="9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41"/>
      <c r="W296" s="5"/>
      <c r="X296" s="5"/>
      <c r="Y296" s="5"/>
      <c r="Z296" s="5"/>
    </row>
    <row r="297" ht="20.25" customHeight="1">
      <c r="A297" s="36"/>
      <c r="B297" s="92"/>
      <c r="C297" s="9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41"/>
      <c r="W297" s="5"/>
      <c r="X297" s="5"/>
      <c r="Y297" s="5"/>
      <c r="Z297" s="5"/>
    </row>
    <row r="298" ht="20.25" customHeight="1">
      <c r="A298" s="36"/>
      <c r="B298" s="92"/>
      <c r="C298" s="9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41"/>
      <c r="W298" s="5"/>
      <c r="X298" s="5"/>
      <c r="Y298" s="5"/>
      <c r="Z298" s="5"/>
    </row>
    <row r="299" ht="20.25" customHeight="1">
      <c r="A299" s="36"/>
      <c r="B299" s="92"/>
      <c r="C299" s="9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41"/>
      <c r="W299" s="5"/>
      <c r="X299" s="5"/>
      <c r="Y299" s="5"/>
      <c r="Z299" s="5"/>
    </row>
    <row r="300" ht="20.25" customHeight="1">
      <c r="A300" s="36"/>
      <c r="B300" s="92"/>
      <c r="C300" s="9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41"/>
      <c r="W300" s="5"/>
      <c r="X300" s="5"/>
      <c r="Y300" s="5"/>
      <c r="Z300" s="5"/>
    </row>
    <row r="301" ht="20.25" customHeight="1">
      <c r="A301" s="36"/>
      <c r="B301" s="92"/>
      <c r="C301" s="9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41"/>
      <c r="W301" s="5"/>
      <c r="X301" s="5"/>
      <c r="Y301" s="5"/>
      <c r="Z301" s="5"/>
    </row>
    <row r="302" ht="20.25" customHeight="1">
      <c r="A302" s="36"/>
      <c r="B302" s="92"/>
      <c r="C302" s="9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41"/>
      <c r="W302" s="5"/>
      <c r="X302" s="5"/>
      <c r="Y302" s="5"/>
      <c r="Z302" s="5"/>
    </row>
    <row r="303" ht="20.25" customHeight="1">
      <c r="A303" s="36"/>
      <c r="B303" s="92"/>
      <c r="C303" s="9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41"/>
      <c r="W303" s="5"/>
      <c r="X303" s="5"/>
      <c r="Y303" s="5"/>
      <c r="Z303" s="5"/>
    </row>
    <row r="304" ht="20.25" customHeight="1">
      <c r="A304" s="36"/>
      <c r="B304" s="92"/>
      <c r="C304" s="9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41"/>
      <c r="W304" s="5"/>
      <c r="X304" s="5"/>
      <c r="Y304" s="5"/>
      <c r="Z304" s="5"/>
    </row>
    <row r="305" ht="20.25" customHeight="1">
      <c r="A305" s="36"/>
      <c r="B305" s="92"/>
      <c r="C305" s="9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41"/>
      <c r="W305" s="5"/>
      <c r="X305" s="5"/>
      <c r="Y305" s="5"/>
      <c r="Z305" s="5"/>
    </row>
    <row r="306" ht="20.25" customHeight="1">
      <c r="A306" s="36"/>
      <c r="B306" s="92"/>
      <c r="C306" s="9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41"/>
      <c r="W306" s="5"/>
      <c r="X306" s="5"/>
      <c r="Y306" s="5"/>
      <c r="Z306" s="5"/>
    </row>
    <row r="307" ht="20.25" customHeight="1">
      <c r="A307" s="36"/>
      <c r="B307" s="92"/>
      <c r="C307" s="9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41"/>
      <c r="W307" s="5"/>
      <c r="X307" s="5"/>
      <c r="Y307" s="5"/>
      <c r="Z307" s="5"/>
    </row>
    <row r="308" ht="20.25" customHeight="1">
      <c r="A308" s="36"/>
      <c r="B308" s="92"/>
      <c r="C308" s="9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41"/>
      <c r="W308" s="5"/>
      <c r="X308" s="5"/>
      <c r="Y308" s="5"/>
      <c r="Z308" s="5"/>
    </row>
    <row r="309" ht="20.25" customHeight="1">
      <c r="A309" s="36"/>
      <c r="B309" s="92"/>
      <c r="C309" s="9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41"/>
      <c r="W309" s="5"/>
      <c r="X309" s="5"/>
      <c r="Y309" s="5"/>
      <c r="Z309" s="5"/>
    </row>
    <row r="310" ht="20.25" customHeight="1">
      <c r="A310" s="36"/>
      <c r="B310" s="92"/>
      <c r="C310" s="9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41"/>
      <c r="W310" s="5"/>
      <c r="X310" s="5"/>
      <c r="Y310" s="5"/>
      <c r="Z310" s="5"/>
    </row>
    <row r="311" ht="20.25" customHeight="1">
      <c r="A311" s="36"/>
      <c r="B311" s="92"/>
      <c r="C311" s="9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41"/>
      <c r="W311" s="5"/>
      <c r="X311" s="5"/>
      <c r="Y311" s="5"/>
      <c r="Z311" s="5"/>
    </row>
    <row r="312" ht="20.25" customHeight="1">
      <c r="A312" s="36"/>
      <c r="B312" s="92"/>
      <c r="C312" s="9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41"/>
      <c r="W312" s="5"/>
      <c r="X312" s="5"/>
      <c r="Y312" s="5"/>
      <c r="Z312" s="5"/>
    </row>
    <row r="313" ht="20.25" customHeight="1">
      <c r="A313" s="36"/>
      <c r="B313" s="92"/>
      <c r="C313" s="9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41"/>
      <c r="W313" s="5"/>
      <c r="X313" s="5"/>
      <c r="Y313" s="5"/>
      <c r="Z313" s="5"/>
    </row>
    <row r="314" ht="20.25" customHeight="1">
      <c r="A314" s="36"/>
      <c r="B314" s="92"/>
      <c r="C314" s="9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41"/>
      <c r="W314" s="5"/>
      <c r="X314" s="5"/>
      <c r="Y314" s="5"/>
      <c r="Z314" s="5"/>
    </row>
    <row r="315" ht="20.25" customHeight="1">
      <c r="A315" s="36"/>
      <c r="B315" s="92"/>
      <c r="C315" s="9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41"/>
      <c r="W315" s="5"/>
      <c r="X315" s="5"/>
      <c r="Y315" s="5"/>
      <c r="Z315" s="5"/>
    </row>
    <row r="316" ht="20.25" customHeight="1">
      <c r="A316" s="36"/>
      <c r="B316" s="92"/>
      <c r="C316" s="9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41"/>
      <c r="W316" s="5"/>
      <c r="X316" s="5"/>
      <c r="Y316" s="5"/>
      <c r="Z316" s="5"/>
    </row>
    <row r="317" ht="20.25" customHeight="1">
      <c r="A317" s="36"/>
      <c r="B317" s="92"/>
      <c r="C317" s="9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41"/>
      <c r="W317" s="5"/>
      <c r="X317" s="5"/>
      <c r="Y317" s="5"/>
      <c r="Z317" s="5"/>
    </row>
    <row r="318" ht="20.25" customHeight="1">
      <c r="A318" s="36"/>
      <c r="B318" s="92"/>
      <c r="C318" s="9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41"/>
      <c r="W318" s="5"/>
      <c r="X318" s="5"/>
      <c r="Y318" s="5"/>
      <c r="Z318" s="5"/>
    </row>
    <row r="319" ht="20.25" customHeight="1">
      <c r="A319" s="36"/>
      <c r="B319" s="92"/>
      <c r="C319" s="9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41"/>
      <c r="W319" s="5"/>
      <c r="X319" s="5"/>
      <c r="Y319" s="5"/>
      <c r="Z319" s="5"/>
    </row>
    <row r="320" ht="20.25" customHeight="1">
      <c r="A320" s="36"/>
      <c r="B320" s="92"/>
      <c r="C320" s="9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41"/>
      <c r="W320" s="5"/>
      <c r="X320" s="5"/>
      <c r="Y320" s="5"/>
      <c r="Z320" s="5"/>
    </row>
    <row r="321" ht="20.25" customHeight="1">
      <c r="A321" s="36"/>
      <c r="B321" s="92"/>
      <c r="C321" s="9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41"/>
      <c r="W321" s="5"/>
      <c r="X321" s="5"/>
      <c r="Y321" s="5"/>
      <c r="Z321" s="5"/>
    </row>
    <row r="322" ht="20.25" customHeight="1">
      <c r="A322" s="36"/>
      <c r="B322" s="92"/>
      <c r="C322" s="9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41"/>
      <c r="W322" s="5"/>
      <c r="X322" s="5"/>
      <c r="Y322" s="5"/>
      <c r="Z322" s="5"/>
    </row>
    <row r="323" ht="20.25" customHeight="1">
      <c r="A323" s="36"/>
      <c r="B323" s="92"/>
      <c r="C323" s="9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41"/>
      <c r="W323" s="5"/>
      <c r="X323" s="5"/>
      <c r="Y323" s="5"/>
      <c r="Z323" s="5"/>
    </row>
    <row r="324" ht="20.25" customHeight="1">
      <c r="A324" s="36"/>
      <c r="B324" s="92"/>
      <c r="C324" s="9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41"/>
      <c r="W324" s="5"/>
      <c r="X324" s="5"/>
      <c r="Y324" s="5"/>
      <c r="Z324" s="5"/>
    </row>
    <row r="325" ht="20.25" customHeight="1">
      <c r="A325" s="36"/>
      <c r="B325" s="92"/>
      <c r="C325" s="9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41"/>
      <c r="W325" s="5"/>
      <c r="X325" s="5"/>
      <c r="Y325" s="5"/>
      <c r="Z325" s="5"/>
    </row>
    <row r="326" ht="20.25" customHeight="1">
      <c r="A326" s="36"/>
      <c r="B326" s="92"/>
      <c r="C326" s="9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41"/>
      <c r="W326" s="5"/>
      <c r="X326" s="5"/>
      <c r="Y326" s="5"/>
      <c r="Z326" s="5"/>
    </row>
    <row r="327" ht="20.25" customHeight="1">
      <c r="A327" s="36"/>
      <c r="B327" s="92"/>
      <c r="C327" s="9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41"/>
      <c r="W327" s="5"/>
      <c r="X327" s="5"/>
      <c r="Y327" s="5"/>
      <c r="Z327" s="5"/>
    </row>
    <row r="328" ht="20.25" customHeight="1">
      <c r="A328" s="36"/>
      <c r="B328" s="92"/>
      <c r="C328" s="9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41"/>
      <c r="W328" s="5"/>
      <c r="X328" s="5"/>
      <c r="Y328" s="5"/>
      <c r="Z328" s="5"/>
    </row>
    <row r="329" ht="20.25" customHeight="1">
      <c r="A329" s="36"/>
      <c r="B329" s="92"/>
      <c r="C329" s="9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41"/>
      <c r="W329" s="5"/>
      <c r="X329" s="5"/>
      <c r="Y329" s="5"/>
      <c r="Z329" s="5"/>
    </row>
    <row r="330" ht="20.25" customHeight="1">
      <c r="A330" s="36"/>
      <c r="B330" s="92"/>
      <c r="C330" s="9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41"/>
      <c r="W330" s="5"/>
      <c r="X330" s="5"/>
      <c r="Y330" s="5"/>
      <c r="Z330" s="5"/>
    </row>
    <row r="331" ht="20.25" customHeight="1">
      <c r="A331" s="36"/>
      <c r="B331" s="92"/>
      <c r="C331" s="9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41"/>
      <c r="W331" s="5"/>
      <c r="X331" s="5"/>
      <c r="Y331" s="5"/>
      <c r="Z331" s="5"/>
    </row>
    <row r="332" ht="20.25" customHeight="1">
      <c r="A332" s="36"/>
      <c r="B332" s="92"/>
      <c r="C332" s="9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41"/>
      <c r="W332" s="5"/>
      <c r="X332" s="5"/>
      <c r="Y332" s="5"/>
      <c r="Z332" s="5"/>
    </row>
    <row r="333" ht="20.25" customHeight="1">
      <c r="A333" s="36"/>
      <c r="B333" s="92"/>
      <c r="C333" s="9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41"/>
      <c r="W333" s="5"/>
      <c r="X333" s="5"/>
      <c r="Y333" s="5"/>
      <c r="Z333" s="5"/>
    </row>
    <row r="334" ht="20.25" customHeight="1">
      <c r="A334" s="36"/>
      <c r="B334" s="92"/>
      <c r="C334" s="9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41"/>
      <c r="W334" s="5"/>
      <c r="X334" s="5"/>
      <c r="Y334" s="5"/>
      <c r="Z334" s="5"/>
    </row>
    <row r="335" ht="20.25" customHeight="1">
      <c r="A335" s="36"/>
      <c r="B335" s="92"/>
      <c r="C335" s="9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41"/>
      <c r="W335" s="5"/>
      <c r="X335" s="5"/>
      <c r="Y335" s="5"/>
      <c r="Z335" s="5"/>
    </row>
    <row r="336" ht="20.25" customHeight="1">
      <c r="A336" s="36"/>
      <c r="B336" s="92"/>
      <c r="C336" s="9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41"/>
      <c r="W336" s="5"/>
      <c r="X336" s="5"/>
      <c r="Y336" s="5"/>
      <c r="Z336" s="5"/>
    </row>
    <row r="337" ht="20.25" customHeight="1">
      <c r="A337" s="36"/>
      <c r="B337" s="92"/>
      <c r="C337" s="9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41"/>
      <c r="W337" s="5"/>
      <c r="X337" s="5"/>
      <c r="Y337" s="5"/>
      <c r="Z337" s="5"/>
    </row>
    <row r="338" ht="20.25" customHeight="1">
      <c r="A338" s="36"/>
      <c r="B338" s="92"/>
      <c r="C338" s="9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41"/>
      <c r="W338" s="5"/>
      <c r="X338" s="5"/>
      <c r="Y338" s="5"/>
      <c r="Z338" s="5"/>
    </row>
    <row r="339" ht="20.25" customHeight="1">
      <c r="A339" s="36"/>
      <c r="B339" s="92"/>
      <c r="C339" s="9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41"/>
      <c r="W339" s="5"/>
      <c r="X339" s="5"/>
      <c r="Y339" s="5"/>
      <c r="Z339" s="5"/>
    </row>
    <row r="340" ht="20.25" customHeight="1">
      <c r="A340" s="36"/>
      <c r="B340" s="92"/>
      <c r="C340" s="9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41"/>
      <c r="W340" s="5"/>
      <c r="X340" s="5"/>
      <c r="Y340" s="5"/>
      <c r="Z340" s="5"/>
    </row>
    <row r="341" ht="20.25" customHeight="1">
      <c r="A341" s="36"/>
      <c r="B341" s="92"/>
      <c r="C341" s="9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41"/>
      <c r="W341" s="5"/>
      <c r="X341" s="5"/>
      <c r="Y341" s="5"/>
      <c r="Z341" s="5"/>
    </row>
    <row r="342" ht="20.25" customHeight="1">
      <c r="A342" s="36"/>
      <c r="B342" s="92"/>
      <c r="C342" s="9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41"/>
      <c r="W342" s="5"/>
      <c r="X342" s="5"/>
      <c r="Y342" s="5"/>
      <c r="Z342" s="5"/>
    </row>
    <row r="343" ht="20.25" customHeight="1">
      <c r="A343" s="36"/>
      <c r="B343" s="92"/>
      <c r="C343" s="9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41"/>
      <c r="W343" s="5"/>
      <c r="X343" s="5"/>
      <c r="Y343" s="5"/>
      <c r="Z343" s="5"/>
    </row>
    <row r="344" ht="20.25" customHeight="1">
      <c r="A344" s="36"/>
      <c r="B344" s="92"/>
      <c r="C344" s="9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41"/>
      <c r="W344" s="5"/>
      <c r="X344" s="5"/>
      <c r="Y344" s="5"/>
      <c r="Z344" s="5"/>
    </row>
    <row r="345" ht="20.25" customHeight="1">
      <c r="A345" s="36"/>
      <c r="B345" s="92"/>
      <c r="C345" s="9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41"/>
      <c r="W345" s="5"/>
      <c r="X345" s="5"/>
      <c r="Y345" s="5"/>
      <c r="Z345" s="5"/>
    </row>
    <row r="346" ht="20.25" customHeight="1">
      <c r="A346" s="36"/>
      <c r="B346" s="92"/>
      <c r="C346" s="9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41"/>
      <c r="W346" s="5"/>
      <c r="X346" s="5"/>
      <c r="Y346" s="5"/>
      <c r="Z346" s="5"/>
    </row>
    <row r="347" ht="20.25" customHeight="1">
      <c r="A347" s="36"/>
      <c r="B347" s="92"/>
      <c r="C347" s="9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41"/>
      <c r="W347" s="5"/>
      <c r="X347" s="5"/>
      <c r="Y347" s="5"/>
      <c r="Z347" s="5"/>
    </row>
    <row r="348" ht="20.25" customHeight="1">
      <c r="A348" s="36"/>
      <c r="B348" s="92"/>
      <c r="C348" s="9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41"/>
      <c r="W348" s="5"/>
      <c r="X348" s="5"/>
      <c r="Y348" s="5"/>
      <c r="Z348" s="5"/>
    </row>
    <row r="349" ht="20.25" customHeight="1">
      <c r="A349" s="36"/>
      <c r="B349" s="92"/>
      <c r="C349" s="9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41"/>
      <c r="W349" s="5"/>
      <c r="X349" s="5"/>
      <c r="Y349" s="5"/>
      <c r="Z349" s="5"/>
    </row>
    <row r="350" ht="20.25" customHeight="1">
      <c r="A350" s="36"/>
      <c r="B350" s="92"/>
      <c r="C350" s="9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41"/>
      <c r="W350" s="5"/>
      <c r="X350" s="5"/>
      <c r="Y350" s="5"/>
      <c r="Z350" s="5"/>
    </row>
    <row r="351" ht="20.25" customHeight="1">
      <c r="A351" s="36"/>
      <c r="B351" s="92"/>
      <c r="C351" s="9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41"/>
      <c r="W351" s="5"/>
      <c r="X351" s="5"/>
      <c r="Y351" s="5"/>
      <c r="Z351" s="5"/>
    </row>
    <row r="352" ht="20.25" customHeight="1">
      <c r="A352" s="36"/>
      <c r="B352" s="92"/>
      <c r="C352" s="9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41"/>
      <c r="W352" s="5"/>
      <c r="X352" s="5"/>
      <c r="Y352" s="5"/>
      <c r="Z352" s="5"/>
    </row>
    <row r="353" ht="20.25" customHeight="1">
      <c r="A353" s="36"/>
      <c r="B353" s="92"/>
      <c r="C353" s="9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41"/>
      <c r="W353" s="5"/>
      <c r="X353" s="5"/>
      <c r="Y353" s="5"/>
      <c r="Z353" s="5"/>
    </row>
    <row r="354" ht="20.25" customHeight="1">
      <c r="A354" s="36"/>
      <c r="B354" s="92"/>
      <c r="C354" s="9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41"/>
      <c r="W354" s="5"/>
      <c r="X354" s="5"/>
      <c r="Y354" s="5"/>
      <c r="Z354" s="5"/>
    </row>
    <row r="355" ht="20.25" customHeight="1">
      <c r="A355" s="36"/>
      <c r="B355" s="92"/>
      <c r="C355" s="9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41"/>
      <c r="W355" s="5"/>
      <c r="X355" s="5"/>
      <c r="Y355" s="5"/>
      <c r="Z355" s="5"/>
    </row>
    <row r="356" ht="20.25" customHeight="1">
      <c r="A356" s="36"/>
      <c r="B356" s="92"/>
      <c r="C356" s="9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41"/>
      <c r="W356" s="5"/>
      <c r="X356" s="5"/>
      <c r="Y356" s="5"/>
      <c r="Z356" s="5"/>
    </row>
    <row r="357" ht="20.25" customHeight="1">
      <c r="A357" s="36"/>
      <c r="B357" s="92"/>
      <c r="C357" s="9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41"/>
      <c r="W357" s="5"/>
      <c r="X357" s="5"/>
      <c r="Y357" s="5"/>
      <c r="Z357" s="5"/>
    </row>
    <row r="358" ht="20.25" customHeight="1">
      <c r="A358" s="36"/>
      <c r="B358" s="92"/>
      <c r="C358" s="9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41"/>
      <c r="W358" s="5"/>
      <c r="X358" s="5"/>
      <c r="Y358" s="5"/>
      <c r="Z358" s="5"/>
    </row>
    <row r="359" ht="20.25" customHeight="1">
      <c r="A359" s="36"/>
      <c r="B359" s="92"/>
      <c r="C359" s="9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41"/>
      <c r="W359" s="5"/>
      <c r="X359" s="5"/>
      <c r="Y359" s="5"/>
      <c r="Z359" s="5"/>
    </row>
    <row r="360" ht="20.25" customHeight="1">
      <c r="A360" s="36"/>
      <c r="B360" s="92"/>
      <c r="C360" s="9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41"/>
      <c r="W360" s="5"/>
      <c r="X360" s="5"/>
      <c r="Y360" s="5"/>
      <c r="Z360" s="5"/>
    </row>
    <row r="361" ht="20.25" customHeight="1">
      <c r="A361" s="36"/>
      <c r="B361" s="92"/>
      <c r="C361" s="9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41"/>
      <c r="W361" s="5"/>
      <c r="X361" s="5"/>
      <c r="Y361" s="5"/>
      <c r="Z361" s="5"/>
    </row>
    <row r="362" ht="20.25" customHeight="1">
      <c r="A362" s="36"/>
      <c r="B362" s="92"/>
      <c r="C362" s="9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41"/>
      <c r="W362" s="5"/>
      <c r="X362" s="5"/>
      <c r="Y362" s="5"/>
      <c r="Z362" s="5"/>
    </row>
    <row r="363" ht="20.25" customHeight="1">
      <c r="A363" s="36"/>
      <c r="B363" s="92"/>
      <c r="C363" s="9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41"/>
      <c r="W363" s="5"/>
      <c r="X363" s="5"/>
      <c r="Y363" s="5"/>
      <c r="Z363" s="5"/>
    </row>
    <row r="364" ht="20.25" customHeight="1">
      <c r="A364" s="36"/>
      <c r="B364" s="92"/>
      <c r="C364" s="9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41"/>
      <c r="W364" s="5"/>
      <c r="X364" s="5"/>
      <c r="Y364" s="5"/>
      <c r="Z364" s="5"/>
    </row>
    <row r="365" ht="20.25" customHeight="1">
      <c r="A365" s="36"/>
      <c r="B365" s="92"/>
      <c r="C365" s="9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41"/>
      <c r="W365" s="5"/>
      <c r="X365" s="5"/>
      <c r="Y365" s="5"/>
      <c r="Z365" s="5"/>
    </row>
    <row r="366" ht="20.25" customHeight="1">
      <c r="A366" s="36"/>
      <c r="B366" s="92"/>
      <c r="C366" s="9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41"/>
      <c r="W366" s="5"/>
      <c r="X366" s="5"/>
      <c r="Y366" s="5"/>
      <c r="Z366" s="5"/>
    </row>
    <row r="367" ht="20.25" customHeight="1">
      <c r="A367" s="36"/>
      <c r="B367" s="92"/>
      <c r="C367" s="9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41"/>
      <c r="W367" s="5"/>
      <c r="X367" s="5"/>
      <c r="Y367" s="5"/>
      <c r="Z367" s="5"/>
    </row>
    <row r="368" ht="20.25" customHeight="1">
      <c r="A368" s="36"/>
      <c r="B368" s="92"/>
      <c r="C368" s="9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41"/>
      <c r="W368" s="5"/>
      <c r="X368" s="5"/>
      <c r="Y368" s="5"/>
      <c r="Z368" s="5"/>
    </row>
    <row r="369" ht="20.25" customHeight="1">
      <c r="A369" s="36"/>
      <c r="B369" s="92"/>
      <c r="C369" s="9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41"/>
      <c r="W369" s="5"/>
      <c r="X369" s="5"/>
      <c r="Y369" s="5"/>
      <c r="Z369" s="5"/>
    </row>
    <row r="370" ht="20.25" customHeight="1">
      <c r="A370" s="36"/>
      <c r="B370" s="92"/>
      <c r="C370" s="9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41"/>
      <c r="W370" s="5"/>
      <c r="X370" s="5"/>
      <c r="Y370" s="5"/>
      <c r="Z370" s="5"/>
    </row>
    <row r="371" ht="20.25" customHeight="1">
      <c r="A371" s="36"/>
      <c r="B371" s="92"/>
      <c r="C371" s="9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41"/>
      <c r="W371" s="5"/>
      <c r="X371" s="5"/>
      <c r="Y371" s="5"/>
      <c r="Z371" s="5"/>
    </row>
    <row r="372" ht="20.25" customHeight="1">
      <c r="A372" s="36"/>
      <c r="B372" s="92"/>
      <c r="C372" s="9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41"/>
      <c r="W372" s="5"/>
      <c r="X372" s="5"/>
      <c r="Y372" s="5"/>
      <c r="Z372" s="5"/>
    </row>
    <row r="373" ht="20.25" customHeight="1">
      <c r="A373" s="36"/>
      <c r="B373" s="92"/>
      <c r="C373" s="9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41"/>
      <c r="W373" s="5"/>
      <c r="X373" s="5"/>
      <c r="Y373" s="5"/>
      <c r="Z373" s="5"/>
    </row>
    <row r="374" ht="20.25" customHeight="1">
      <c r="A374" s="36"/>
      <c r="B374" s="92"/>
      <c r="C374" s="9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41"/>
      <c r="W374" s="5"/>
      <c r="X374" s="5"/>
      <c r="Y374" s="5"/>
      <c r="Z374" s="5"/>
    </row>
    <row r="375" ht="20.25" customHeight="1">
      <c r="A375" s="36"/>
      <c r="B375" s="92"/>
      <c r="C375" s="9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41"/>
      <c r="W375" s="5"/>
      <c r="X375" s="5"/>
      <c r="Y375" s="5"/>
      <c r="Z375" s="5"/>
    </row>
    <row r="376" ht="20.25" customHeight="1">
      <c r="A376" s="36"/>
      <c r="B376" s="92"/>
      <c r="C376" s="9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41"/>
      <c r="W376" s="5"/>
      <c r="X376" s="5"/>
      <c r="Y376" s="5"/>
      <c r="Z376" s="5"/>
    </row>
    <row r="377" ht="20.25" customHeight="1">
      <c r="A377" s="36"/>
      <c r="B377" s="92"/>
      <c r="C377" s="9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41"/>
      <c r="W377" s="5"/>
      <c r="X377" s="5"/>
      <c r="Y377" s="5"/>
      <c r="Z377" s="5"/>
    </row>
    <row r="378" ht="20.25" customHeight="1">
      <c r="A378" s="36"/>
      <c r="B378" s="92"/>
      <c r="C378" s="9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41"/>
      <c r="W378" s="5"/>
      <c r="X378" s="5"/>
      <c r="Y378" s="5"/>
      <c r="Z378" s="5"/>
    </row>
    <row r="379" ht="20.25" customHeight="1">
      <c r="A379" s="36"/>
      <c r="B379" s="92"/>
      <c r="C379" s="9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41"/>
      <c r="W379" s="5"/>
      <c r="X379" s="5"/>
      <c r="Y379" s="5"/>
      <c r="Z379" s="5"/>
    </row>
    <row r="380" ht="20.25" customHeight="1">
      <c r="A380" s="36"/>
      <c r="B380" s="92"/>
      <c r="C380" s="9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41"/>
      <c r="W380" s="5"/>
      <c r="X380" s="5"/>
      <c r="Y380" s="5"/>
      <c r="Z380" s="5"/>
    </row>
    <row r="381" ht="20.25" customHeight="1">
      <c r="A381" s="36"/>
      <c r="B381" s="92"/>
      <c r="C381" s="9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41"/>
      <c r="W381" s="5"/>
      <c r="X381" s="5"/>
      <c r="Y381" s="5"/>
      <c r="Z381" s="5"/>
    </row>
    <row r="382" ht="20.25" customHeight="1">
      <c r="A382" s="36"/>
      <c r="B382" s="92"/>
      <c r="C382" s="9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41"/>
      <c r="W382" s="5"/>
      <c r="X382" s="5"/>
      <c r="Y382" s="5"/>
      <c r="Z382" s="5"/>
    </row>
    <row r="383" ht="20.25" customHeight="1">
      <c r="A383" s="36"/>
      <c r="B383" s="92"/>
      <c r="C383" s="9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41"/>
      <c r="W383" s="5"/>
      <c r="X383" s="5"/>
      <c r="Y383" s="5"/>
      <c r="Z383" s="5"/>
    </row>
    <row r="384" ht="20.25" customHeight="1">
      <c r="A384" s="36"/>
      <c r="B384" s="92"/>
      <c r="C384" s="9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41"/>
      <c r="W384" s="5"/>
      <c r="X384" s="5"/>
      <c r="Y384" s="5"/>
      <c r="Z384" s="5"/>
    </row>
    <row r="385" ht="20.25" customHeight="1">
      <c r="A385" s="36"/>
      <c r="B385" s="92"/>
      <c r="C385" s="9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41"/>
      <c r="W385" s="5"/>
      <c r="X385" s="5"/>
      <c r="Y385" s="5"/>
      <c r="Z385" s="5"/>
    </row>
    <row r="386" ht="20.25" customHeight="1">
      <c r="A386" s="36"/>
      <c r="B386" s="92"/>
      <c r="C386" s="9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41"/>
      <c r="W386" s="5"/>
      <c r="X386" s="5"/>
      <c r="Y386" s="5"/>
      <c r="Z386" s="5"/>
    </row>
    <row r="387" ht="20.25" customHeight="1">
      <c r="A387" s="36"/>
      <c r="B387" s="92"/>
      <c r="C387" s="9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41"/>
      <c r="W387" s="5"/>
      <c r="X387" s="5"/>
      <c r="Y387" s="5"/>
      <c r="Z387" s="5"/>
    </row>
    <row r="388" ht="20.25" customHeight="1">
      <c r="A388" s="36"/>
      <c r="B388" s="92"/>
      <c r="C388" s="9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41"/>
      <c r="W388" s="5"/>
      <c r="X388" s="5"/>
      <c r="Y388" s="5"/>
      <c r="Z388" s="5"/>
    </row>
    <row r="389" ht="20.25" customHeight="1">
      <c r="A389" s="36"/>
      <c r="B389" s="92"/>
      <c r="C389" s="9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41"/>
      <c r="W389" s="5"/>
      <c r="X389" s="5"/>
      <c r="Y389" s="5"/>
      <c r="Z389" s="5"/>
    </row>
    <row r="390" ht="20.25" customHeight="1">
      <c r="A390" s="36"/>
      <c r="B390" s="92"/>
      <c r="C390" s="9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41"/>
      <c r="W390" s="5"/>
      <c r="X390" s="5"/>
      <c r="Y390" s="5"/>
      <c r="Z390" s="5"/>
    </row>
    <row r="391" ht="20.25" customHeight="1">
      <c r="A391" s="36"/>
      <c r="B391" s="92"/>
      <c r="C391" s="9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41"/>
      <c r="W391" s="5"/>
      <c r="X391" s="5"/>
      <c r="Y391" s="5"/>
      <c r="Z391" s="5"/>
    </row>
    <row r="392" ht="20.25" customHeight="1">
      <c r="A392" s="36"/>
      <c r="B392" s="92"/>
      <c r="C392" s="9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41"/>
      <c r="W392" s="5"/>
      <c r="X392" s="5"/>
      <c r="Y392" s="5"/>
      <c r="Z392" s="5"/>
    </row>
    <row r="393" ht="20.25" customHeight="1">
      <c r="A393" s="36"/>
      <c r="B393" s="92"/>
      <c r="C393" s="9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41"/>
      <c r="W393" s="5"/>
      <c r="X393" s="5"/>
      <c r="Y393" s="5"/>
      <c r="Z393" s="5"/>
    </row>
    <row r="394" ht="20.25" customHeight="1">
      <c r="A394" s="36"/>
      <c r="B394" s="92"/>
      <c r="C394" s="9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41"/>
      <c r="W394" s="5"/>
      <c r="X394" s="5"/>
      <c r="Y394" s="5"/>
      <c r="Z394" s="5"/>
    </row>
    <row r="395" ht="20.25" customHeight="1">
      <c r="A395" s="36"/>
      <c r="B395" s="92"/>
      <c r="C395" s="9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41"/>
      <c r="W395" s="5"/>
      <c r="X395" s="5"/>
      <c r="Y395" s="5"/>
      <c r="Z395" s="5"/>
    </row>
    <row r="396" ht="20.25" customHeight="1">
      <c r="A396" s="36"/>
      <c r="B396" s="92"/>
      <c r="C396" s="9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41"/>
      <c r="W396" s="5"/>
      <c r="X396" s="5"/>
      <c r="Y396" s="5"/>
      <c r="Z396" s="5"/>
    </row>
    <row r="397" ht="20.25" customHeight="1">
      <c r="A397" s="36"/>
      <c r="B397" s="92"/>
      <c r="C397" s="9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41"/>
      <c r="W397" s="5"/>
      <c r="X397" s="5"/>
      <c r="Y397" s="5"/>
      <c r="Z397" s="5"/>
    </row>
    <row r="398" ht="20.25" customHeight="1">
      <c r="A398" s="36"/>
      <c r="B398" s="92"/>
      <c r="C398" s="9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41"/>
      <c r="W398" s="5"/>
      <c r="X398" s="5"/>
      <c r="Y398" s="5"/>
      <c r="Z398" s="5"/>
    </row>
    <row r="399" ht="20.25" customHeight="1">
      <c r="A399" s="36"/>
      <c r="B399" s="92"/>
      <c r="C399" s="9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41"/>
      <c r="W399" s="5"/>
      <c r="X399" s="5"/>
      <c r="Y399" s="5"/>
      <c r="Z399" s="5"/>
    </row>
    <row r="400" ht="20.25" customHeight="1">
      <c r="A400" s="36"/>
      <c r="B400" s="92"/>
      <c r="C400" s="9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41"/>
      <c r="W400" s="5"/>
      <c r="X400" s="5"/>
      <c r="Y400" s="5"/>
      <c r="Z400" s="5"/>
    </row>
    <row r="401" ht="20.25" customHeight="1">
      <c r="A401" s="36"/>
      <c r="B401" s="92"/>
      <c r="C401" s="9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41"/>
      <c r="W401" s="5"/>
      <c r="X401" s="5"/>
      <c r="Y401" s="5"/>
      <c r="Z401" s="5"/>
    </row>
    <row r="402" ht="20.25" customHeight="1">
      <c r="A402" s="36"/>
      <c r="B402" s="92"/>
      <c r="C402" s="9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41"/>
      <c r="W402" s="5"/>
      <c r="X402" s="5"/>
      <c r="Y402" s="5"/>
      <c r="Z402" s="5"/>
    </row>
    <row r="403" ht="20.25" customHeight="1">
      <c r="A403" s="36"/>
      <c r="B403" s="92"/>
      <c r="C403" s="9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41"/>
      <c r="W403" s="5"/>
      <c r="X403" s="5"/>
      <c r="Y403" s="5"/>
      <c r="Z403" s="5"/>
    </row>
    <row r="404" ht="20.25" customHeight="1">
      <c r="A404" s="36"/>
      <c r="B404" s="92"/>
      <c r="C404" s="9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41"/>
      <c r="W404" s="5"/>
      <c r="X404" s="5"/>
      <c r="Y404" s="5"/>
      <c r="Z404" s="5"/>
    </row>
    <row r="405" ht="20.25" customHeight="1">
      <c r="A405" s="36"/>
      <c r="B405" s="92"/>
      <c r="C405" s="9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41"/>
      <c r="W405" s="5"/>
      <c r="X405" s="5"/>
      <c r="Y405" s="5"/>
      <c r="Z405" s="5"/>
    </row>
    <row r="406" ht="20.25" customHeight="1">
      <c r="A406" s="36"/>
      <c r="B406" s="92"/>
      <c r="C406" s="9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41"/>
      <c r="W406" s="5"/>
      <c r="X406" s="5"/>
      <c r="Y406" s="5"/>
      <c r="Z406" s="5"/>
    </row>
    <row r="407" ht="20.25" customHeight="1">
      <c r="A407" s="36"/>
      <c r="B407" s="92"/>
      <c r="C407" s="9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41"/>
      <c r="W407" s="5"/>
      <c r="X407" s="5"/>
      <c r="Y407" s="5"/>
      <c r="Z407" s="5"/>
    </row>
    <row r="408" ht="20.25" customHeight="1">
      <c r="A408" s="36"/>
      <c r="B408" s="92"/>
      <c r="C408" s="9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41"/>
      <c r="W408" s="5"/>
      <c r="X408" s="5"/>
      <c r="Y408" s="5"/>
      <c r="Z408" s="5"/>
    </row>
    <row r="409" ht="20.25" customHeight="1">
      <c r="A409" s="36"/>
      <c r="B409" s="92"/>
      <c r="C409" s="9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41"/>
      <c r="W409" s="5"/>
      <c r="X409" s="5"/>
      <c r="Y409" s="5"/>
      <c r="Z409" s="5"/>
    </row>
    <row r="410" ht="20.25" customHeight="1">
      <c r="A410" s="36"/>
      <c r="B410" s="92"/>
      <c r="C410" s="9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41"/>
      <c r="W410" s="5"/>
      <c r="X410" s="5"/>
      <c r="Y410" s="5"/>
      <c r="Z410" s="5"/>
    </row>
    <row r="411" ht="20.25" customHeight="1">
      <c r="A411" s="36"/>
      <c r="B411" s="92"/>
      <c r="C411" s="9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41"/>
      <c r="W411" s="5"/>
      <c r="X411" s="5"/>
      <c r="Y411" s="5"/>
      <c r="Z411" s="5"/>
    </row>
    <row r="412" ht="20.25" customHeight="1">
      <c r="A412" s="36"/>
      <c r="B412" s="92"/>
      <c r="C412" s="9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41"/>
      <c r="W412" s="5"/>
      <c r="X412" s="5"/>
      <c r="Y412" s="5"/>
      <c r="Z412" s="5"/>
    </row>
    <row r="413" ht="20.25" customHeight="1">
      <c r="A413" s="36"/>
      <c r="B413" s="92"/>
      <c r="C413" s="9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41"/>
      <c r="W413" s="5"/>
      <c r="X413" s="5"/>
      <c r="Y413" s="5"/>
      <c r="Z413" s="5"/>
    </row>
    <row r="414" ht="20.25" customHeight="1">
      <c r="A414" s="36"/>
      <c r="B414" s="92"/>
      <c r="C414" s="9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41"/>
      <c r="W414" s="5"/>
      <c r="X414" s="5"/>
      <c r="Y414" s="5"/>
      <c r="Z414" s="5"/>
    </row>
    <row r="415" ht="20.25" customHeight="1">
      <c r="A415" s="36"/>
      <c r="B415" s="92"/>
      <c r="C415" s="9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41"/>
      <c r="W415" s="5"/>
      <c r="X415" s="5"/>
      <c r="Y415" s="5"/>
      <c r="Z415" s="5"/>
    </row>
    <row r="416" ht="20.25" customHeight="1">
      <c r="A416" s="36"/>
      <c r="B416" s="92"/>
      <c r="C416" s="9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41"/>
      <c r="W416" s="5"/>
      <c r="X416" s="5"/>
      <c r="Y416" s="5"/>
      <c r="Z416" s="5"/>
    </row>
    <row r="417" ht="20.25" customHeight="1">
      <c r="A417" s="36"/>
      <c r="B417" s="92"/>
      <c r="C417" s="9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41"/>
      <c r="W417" s="5"/>
      <c r="X417" s="5"/>
      <c r="Y417" s="5"/>
      <c r="Z417" s="5"/>
    </row>
    <row r="418" ht="20.25" customHeight="1">
      <c r="A418" s="36"/>
      <c r="B418" s="92"/>
      <c r="C418" s="9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41"/>
      <c r="W418" s="5"/>
      <c r="X418" s="5"/>
      <c r="Y418" s="5"/>
      <c r="Z418" s="5"/>
    </row>
    <row r="419" ht="20.25" customHeight="1">
      <c r="A419" s="36"/>
      <c r="B419" s="92"/>
      <c r="C419" s="9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41"/>
      <c r="W419" s="5"/>
      <c r="X419" s="5"/>
      <c r="Y419" s="5"/>
      <c r="Z419" s="5"/>
    </row>
    <row r="420" ht="20.25" customHeight="1">
      <c r="A420" s="36"/>
      <c r="B420" s="92"/>
      <c r="C420" s="9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41"/>
      <c r="W420" s="5"/>
      <c r="X420" s="5"/>
      <c r="Y420" s="5"/>
      <c r="Z420" s="5"/>
    </row>
    <row r="421" ht="20.25" customHeight="1">
      <c r="A421" s="36"/>
      <c r="B421" s="92"/>
      <c r="C421" s="9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41"/>
      <c r="W421" s="5"/>
      <c r="X421" s="5"/>
      <c r="Y421" s="5"/>
      <c r="Z421" s="5"/>
    </row>
    <row r="422" ht="20.25" customHeight="1">
      <c r="A422" s="36"/>
      <c r="B422" s="92"/>
      <c r="C422" s="9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41"/>
      <c r="W422" s="5"/>
      <c r="X422" s="5"/>
      <c r="Y422" s="5"/>
      <c r="Z422" s="5"/>
    </row>
    <row r="423" ht="20.25" customHeight="1">
      <c r="A423" s="36"/>
      <c r="B423" s="92"/>
      <c r="C423" s="9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41"/>
      <c r="W423" s="5"/>
      <c r="X423" s="5"/>
      <c r="Y423" s="5"/>
      <c r="Z423" s="5"/>
    </row>
    <row r="424" ht="20.25" customHeight="1">
      <c r="A424" s="36"/>
      <c r="B424" s="92"/>
      <c r="C424" s="9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41"/>
      <c r="W424" s="5"/>
      <c r="X424" s="5"/>
      <c r="Y424" s="5"/>
      <c r="Z424" s="5"/>
    </row>
    <row r="425" ht="20.25" customHeight="1">
      <c r="A425" s="36"/>
      <c r="B425" s="92"/>
      <c r="C425" s="9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41"/>
      <c r="W425" s="5"/>
      <c r="X425" s="5"/>
      <c r="Y425" s="5"/>
      <c r="Z425" s="5"/>
    </row>
    <row r="426" ht="20.25" customHeight="1">
      <c r="A426" s="36"/>
      <c r="B426" s="92"/>
      <c r="C426" s="9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41"/>
      <c r="W426" s="5"/>
      <c r="X426" s="5"/>
      <c r="Y426" s="5"/>
      <c r="Z426" s="5"/>
    </row>
    <row r="427" ht="20.25" customHeight="1">
      <c r="A427" s="36"/>
      <c r="B427" s="92"/>
      <c r="C427" s="9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41"/>
      <c r="W427" s="5"/>
      <c r="X427" s="5"/>
      <c r="Y427" s="5"/>
      <c r="Z427" s="5"/>
    </row>
    <row r="428" ht="20.25" customHeight="1">
      <c r="A428" s="36"/>
      <c r="B428" s="92"/>
      <c r="C428" s="9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41"/>
      <c r="W428" s="5"/>
      <c r="X428" s="5"/>
      <c r="Y428" s="5"/>
      <c r="Z428" s="5"/>
    </row>
    <row r="429" ht="20.25" customHeight="1">
      <c r="A429" s="36"/>
      <c r="B429" s="92"/>
      <c r="C429" s="9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41"/>
      <c r="W429" s="5"/>
      <c r="X429" s="5"/>
      <c r="Y429" s="5"/>
      <c r="Z429" s="5"/>
    </row>
    <row r="430" ht="20.25" customHeight="1">
      <c r="A430" s="36"/>
      <c r="B430" s="92"/>
      <c r="C430" s="9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41"/>
      <c r="W430" s="5"/>
      <c r="X430" s="5"/>
      <c r="Y430" s="5"/>
      <c r="Z430" s="5"/>
    </row>
    <row r="431" ht="20.25" customHeight="1">
      <c r="A431" s="36"/>
      <c r="B431" s="92"/>
      <c r="C431" s="9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41"/>
      <c r="W431" s="5"/>
      <c r="X431" s="5"/>
      <c r="Y431" s="5"/>
      <c r="Z431" s="5"/>
    </row>
    <row r="432" ht="20.25" customHeight="1">
      <c r="A432" s="36"/>
      <c r="B432" s="92"/>
      <c r="C432" s="9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41"/>
      <c r="W432" s="5"/>
      <c r="X432" s="5"/>
      <c r="Y432" s="5"/>
      <c r="Z432" s="5"/>
    </row>
    <row r="433" ht="20.25" customHeight="1">
      <c r="A433" s="36"/>
      <c r="B433" s="92"/>
      <c r="C433" s="9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41"/>
      <c r="W433" s="5"/>
      <c r="X433" s="5"/>
      <c r="Y433" s="5"/>
      <c r="Z433" s="5"/>
    </row>
    <row r="434" ht="20.25" customHeight="1">
      <c r="A434" s="36"/>
      <c r="B434" s="92"/>
      <c r="C434" s="9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41"/>
      <c r="W434" s="5"/>
      <c r="X434" s="5"/>
      <c r="Y434" s="5"/>
      <c r="Z434" s="5"/>
    </row>
    <row r="435" ht="20.25" customHeight="1">
      <c r="A435" s="36"/>
      <c r="B435" s="92"/>
      <c r="C435" s="9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41"/>
      <c r="W435" s="5"/>
      <c r="X435" s="5"/>
      <c r="Y435" s="5"/>
      <c r="Z435" s="5"/>
    </row>
    <row r="436" ht="20.25" customHeight="1">
      <c r="A436" s="36"/>
      <c r="B436" s="92"/>
      <c r="C436" s="9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41"/>
      <c r="W436" s="5"/>
      <c r="X436" s="5"/>
      <c r="Y436" s="5"/>
      <c r="Z436" s="5"/>
    </row>
    <row r="437" ht="20.25" customHeight="1">
      <c r="A437" s="36"/>
      <c r="B437" s="92"/>
      <c r="C437" s="9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41"/>
      <c r="W437" s="5"/>
      <c r="X437" s="5"/>
      <c r="Y437" s="5"/>
      <c r="Z437" s="5"/>
    </row>
    <row r="438" ht="20.25" customHeight="1">
      <c r="A438" s="36"/>
      <c r="B438" s="92"/>
      <c r="C438" s="9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41"/>
      <c r="W438" s="5"/>
      <c r="X438" s="5"/>
      <c r="Y438" s="5"/>
      <c r="Z438" s="5"/>
    </row>
    <row r="439" ht="20.25" customHeight="1">
      <c r="A439" s="36"/>
      <c r="B439" s="92"/>
      <c r="C439" s="9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41"/>
      <c r="W439" s="5"/>
      <c r="X439" s="5"/>
      <c r="Y439" s="5"/>
      <c r="Z439" s="5"/>
    </row>
    <row r="440" ht="20.25" customHeight="1">
      <c r="A440" s="36"/>
      <c r="B440" s="92"/>
      <c r="C440" s="9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41"/>
      <c r="W440" s="5"/>
      <c r="X440" s="5"/>
      <c r="Y440" s="5"/>
      <c r="Z440" s="5"/>
    </row>
    <row r="441" ht="20.25" customHeight="1">
      <c r="A441" s="36"/>
      <c r="B441" s="92"/>
      <c r="C441" s="9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41"/>
      <c r="W441" s="5"/>
      <c r="X441" s="5"/>
      <c r="Y441" s="5"/>
      <c r="Z441" s="5"/>
    </row>
    <row r="442" ht="20.25" customHeight="1">
      <c r="A442" s="36"/>
      <c r="B442" s="92"/>
      <c r="C442" s="9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41"/>
      <c r="W442" s="5"/>
      <c r="X442" s="5"/>
      <c r="Y442" s="5"/>
      <c r="Z442" s="5"/>
    </row>
    <row r="443" ht="20.25" customHeight="1">
      <c r="A443" s="36"/>
      <c r="B443" s="92"/>
      <c r="C443" s="9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41"/>
      <c r="W443" s="5"/>
      <c r="X443" s="5"/>
      <c r="Y443" s="5"/>
      <c r="Z443" s="5"/>
    </row>
    <row r="444" ht="20.25" customHeight="1">
      <c r="A444" s="36"/>
      <c r="B444" s="92"/>
      <c r="C444" s="9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41"/>
      <c r="W444" s="5"/>
      <c r="X444" s="5"/>
      <c r="Y444" s="5"/>
      <c r="Z444" s="5"/>
    </row>
    <row r="445" ht="20.25" customHeight="1">
      <c r="A445" s="36"/>
      <c r="B445" s="92"/>
      <c r="C445" s="9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41"/>
      <c r="W445" s="5"/>
      <c r="X445" s="5"/>
      <c r="Y445" s="5"/>
      <c r="Z445" s="5"/>
    </row>
    <row r="446" ht="20.25" customHeight="1">
      <c r="A446" s="36"/>
      <c r="B446" s="92"/>
      <c r="C446" s="9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41"/>
      <c r="W446" s="5"/>
      <c r="X446" s="5"/>
      <c r="Y446" s="5"/>
      <c r="Z446" s="5"/>
    </row>
    <row r="447" ht="20.25" customHeight="1">
      <c r="A447" s="36"/>
      <c r="B447" s="92"/>
      <c r="C447" s="9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41"/>
      <c r="W447" s="5"/>
      <c r="X447" s="5"/>
      <c r="Y447" s="5"/>
      <c r="Z447" s="5"/>
    </row>
    <row r="448" ht="20.25" customHeight="1">
      <c r="A448" s="36"/>
      <c r="B448" s="92"/>
      <c r="C448" s="9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41"/>
      <c r="W448" s="5"/>
      <c r="X448" s="5"/>
      <c r="Y448" s="5"/>
      <c r="Z448" s="5"/>
    </row>
    <row r="449" ht="20.25" customHeight="1">
      <c r="A449" s="36"/>
      <c r="B449" s="92"/>
      <c r="C449" s="9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41"/>
      <c r="W449" s="5"/>
      <c r="X449" s="5"/>
      <c r="Y449" s="5"/>
      <c r="Z449" s="5"/>
    </row>
    <row r="450" ht="20.25" customHeight="1">
      <c r="A450" s="36"/>
      <c r="B450" s="92"/>
      <c r="C450" s="9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41"/>
      <c r="W450" s="5"/>
      <c r="X450" s="5"/>
      <c r="Y450" s="5"/>
      <c r="Z450" s="5"/>
    </row>
    <row r="451" ht="20.25" customHeight="1">
      <c r="A451" s="36"/>
      <c r="B451" s="92"/>
      <c r="C451" s="9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41"/>
      <c r="W451" s="5"/>
      <c r="X451" s="5"/>
      <c r="Y451" s="5"/>
      <c r="Z451" s="5"/>
    </row>
    <row r="452" ht="20.25" customHeight="1">
      <c r="A452" s="36"/>
      <c r="B452" s="92"/>
      <c r="C452" s="9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41"/>
      <c r="W452" s="5"/>
      <c r="X452" s="5"/>
      <c r="Y452" s="5"/>
      <c r="Z452" s="5"/>
    </row>
    <row r="453" ht="20.25" customHeight="1">
      <c r="A453" s="36"/>
      <c r="B453" s="92"/>
      <c r="C453" s="9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41"/>
      <c r="W453" s="5"/>
      <c r="X453" s="5"/>
      <c r="Y453" s="5"/>
      <c r="Z453" s="5"/>
    </row>
    <row r="454" ht="20.25" customHeight="1">
      <c r="A454" s="36"/>
      <c r="B454" s="92"/>
      <c r="C454" s="9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41"/>
      <c r="W454" s="5"/>
      <c r="X454" s="5"/>
      <c r="Y454" s="5"/>
      <c r="Z454" s="5"/>
    </row>
    <row r="455" ht="20.25" customHeight="1">
      <c r="A455" s="36"/>
      <c r="B455" s="92"/>
      <c r="C455" s="9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41"/>
      <c r="W455" s="5"/>
      <c r="X455" s="5"/>
      <c r="Y455" s="5"/>
      <c r="Z455" s="5"/>
    </row>
    <row r="456" ht="20.25" customHeight="1">
      <c r="A456" s="36"/>
      <c r="B456" s="92"/>
      <c r="C456" s="9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41"/>
      <c r="W456" s="5"/>
      <c r="X456" s="5"/>
      <c r="Y456" s="5"/>
      <c r="Z456" s="5"/>
    </row>
    <row r="457" ht="20.25" customHeight="1">
      <c r="A457" s="36"/>
      <c r="B457" s="92"/>
      <c r="C457" s="9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41"/>
      <c r="W457" s="5"/>
      <c r="X457" s="5"/>
      <c r="Y457" s="5"/>
      <c r="Z457" s="5"/>
    </row>
    <row r="458" ht="20.25" customHeight="1">
      <c r="A458" s="36"/>
      <c r="B458" s="92"/>
      <c r="C458" s="9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41"/>
      <c r="W458" s="5"/>
      <c r="X458" s="5"/>
      <c r="Y458" s="5"/>
      <c r="Z458" s="5"/>
    </row>
    <row r="459" ht="20.25" customHeight="1">
      <c r="A459" s="36"/>
      <c r="B459" s="92"/>
      <c r="C459" s="9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41"/>
      <c r="W459" s="5"/>
      <c r="X459" s="5"/>
      <c r="Y459" s="5"/>
      <c r="Z459" s="5"/>
    </row>
    <row r="460" ht="20.25" customHeight="1">
      <c r="A460" s="36"/>
      <c r="B460" s="92"/>
      <c r="C460" s="9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41"/>
      <c r="W460" s="5"/>
      <c r="X460" s="5"/>
      <c r="Y460" s="5"/>
      <c r="Z460" s="5"/>
    </row>
    <row r="461" ht="20.25" customHeight="1">
      <c r="A461" s="36"/>
      <c r="B461" s="92"/>
      <c r="C461" s="9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41"/>
      <c r="W461" s="5"/>
      <c r="X461" s="5"/>
      <c r="Y461" s="5"/>
      <c r="Z461" s="5"/>
    </row>
    <row r="462" ht="20.25" customHeight="1">
      <c r="A462" s="36"/>
      <c r="B462" s="92"/>
      <c r="C462" s="9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41"/>
      <c r="W462" s="5"/>
      <c r="X462" s="5"/>
      <c r="Y462" s="5"/>
      <c r="Z462" s="5"/>
    </row>
    <row r="463" ht="20.25" customHeight="1">
      <c r="A463" s="36"/>
      <c r="B463" s="92"/>
      <c r="C463" s="9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41"/>
      <c r="W463" s="5"/>
      <c r="X463" s="5"/>
      <c r="Y463" s="5"/>
      <c r="Z463" s="5"/>
    </row>
    <row r="464" ht="20.25" customHeight="1">
      <c r="A464" s="36"/>
      <c r="B464" s="92"/>
      <c r="C464" s="9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41"/>
      <c r="W464" s="5"/>
      <c r="X464" s="5"/>
      <c r="Y464" s="5"/>
      <c r="Z464" s="5"/>
    </row>
    <row r="465" ht="20.25" customHeight="1">
      <c r="A465" s="36"/>
      <c r="B465" s="92"/>
      <c r="C465" s="9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41"/>
      <c r="W465" s="5"/>
      <c r="X465" s="5"/>
      <c r="Y465" s="5"/>
      <c r="Z465" s="5"/>
    </row>
    <row r="466" ht="20.25" customHeight="1">
      <c r="A466" s="36"/>
      <c r="B466" s="92"/>
      <c r="C466" s="9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41"/>
      <c r="W466" s="5"/>
      <c r="X466" s="5"/>
      <c r="Y466" s="5"/>
      <c r="Z466" s="5"/>
    </row>
    <row r="467" ht="20.25" customHeight="1">
      <c r="A467" s="36"/>
      <c r="B467" s="92"/>
      <c r="C467" s="9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41"/>
      <c r="W467" s="5"/>
      <c r="X467" s="5"/>
      <c r="Y467" s="5"/>
      <c r="Z467" s="5"/>
    </row>
    <row r="468" ht="20.25" customHeight="1">
      <c r="A468" s="36"/>
      <c r="B468" s="92"/>
      <c r="C468" s="9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41"/>
      <c r="W468" s="5"/>
      <c r="X468" s="5"/>
      <c r="Y468" s="5"/>
      <c r="Z468" s="5"/>
    </row>
    <row r="469" ht="20.25" customHeight="1">
      <c r="A469" s="36"/>
      <c r="B469" s="92"/>
      <c r="C469" s="9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41"/>
      <c r="W469" s="5"/>
      <c r="X469" s="5"/>
      <c r="Y469" s="5"/>
      <c r="Z469" s="5"/>
    </row>
    <row r="470" ht="20.25" customHeight="1">
      <c r="A470" s="36"/>
      <c r="B470" s="92"/>
      <c r="C470" s="9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41"/>
      <c r="W470" s="5"/>
      <c r="X470" s="5"/>
      <c r="Y470" s="5"/>
      <c r="Z470" s="5"/>
    </row>
    <row r="471" ht="20.25" customHeight="1">
      <c r="A471" s="36"/>
      <c r="B471" s="92"/>
      <c r="C471" s="9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41"/>
      <c r="W471" s="5"/>
      <c r="X471" s="5"/>
      <c r="Y471" s="5"/>
      <c r="Z471" s="5"/>
    </row>
    <row r="472" ht="20.25" customHeight="1">
      <c r="A472" s="36"/>
      <c r="B472" s="92"/>
      <c r="C472" s="9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41"/>
      <c r="W472" s="5"/>
      <c r="X472" s="5"/>
      <c r="Y472" s="5"/>
      <c r="Z472" s="5"/>
    </row>
    <row r="473" ht="20.25" customHeight="1">
      <c r="A473" s="36"/>
      <c r="B473" s="92"/>
      <c r="C473" s="9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41"/>
      <c r="W473" s="5"/>
      <c r="X473" s="5"/>
      <c r="Y473" s="5"/>
      <c r="Z473" s="5"/>
    </row>
    <row r="474" ht="20.25" customHeight="1">
      <c r="A474" s="36"/>
      <c r="B474" s="92"/>
      <c r="C474" s="9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41"/>
      <c r="W474" s="5"/>
      <c r="X474" s="5"/>
      <c r="Y474" s="5"/>
      <c r="Z474" s="5"/>
    </row>
    <row r="475" ht="20.25" customHeight="1">
      <c r="A475" s="36"/>
      <c r="B475" s="92"/>
      <c r="C475" s="9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41"/>
      <c r="W475" s="5"/>
      <c r="X475" s="5"/>
      <c r="Y475" s="5"/>
      <c r="Z475" s="5"/>
    </row>
    <row r="476" ht="20.25" customHeight="1">
      <c r="A476" s="36"/>
      <c r="B476" s="92"/>
      <c r="C476" s="9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41"/>
      <c r="W476" s="5"/>
      <c r="X476" s="5"/>
      <c r="Y476" s="5"/>
      <c r="Z476" s="5"/>
    </row>
    <row r="477" ht="20.25" customHeight="1">
      <c r="A477" s="36"/>
      <c r="B477" s="92"/>
      <c r="C477" s="9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41"/>
      <c r="W477" s="5"/>
      <c r="X477" s="5"/>
      <c r="Y477" s="5"/>
      <c r="Z477" s="5"/>
    </row>
    <row r="478" ht="20.25" customHeight="1">
      <c r="A478" s="36"/>
      <c r="B478" s="92"/>
      <c r="C478" s="9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41"/>
      <c r="W478" s="5"/>
      <c r="X478" s="5"/>
      <c r="Y478" s="5"/>
      <c r="Z478" s="5"/>
    </row>
    <row r="479" ht="20.25" customHeight="1">
      <c r="A479" s="36"/>
      <c r="B479" s="92"/>
      <c r="C479" s="9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41"/>
      <c r="W479" s="5"/>
      <c r="X479" s="5"/>
      <c r="Y479" s="5"/>
      <c r="Z479" s="5"/>
    </row>
    <row r="480" ht="20.25" customHeight="1">
      <c r="A480" s="36"/>
      <c r="B480" s="92"/>
      <c r="C480" s="9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41"/>
      <c r="W480" s="5"/>
      <c r="X480" s="5"/>
      <c r="Y480" s="5"/>
      <c r="Z480" s="5"/>
    </row>
    <row r="481" ht="20.25" customHeight="1">
      <c r="A481" s="36"/>
      <c r="B481" s="92"/>
      <c r="C481" s="9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41"/>
      <c r="W481" s="5"/>
      <c r="X481" s="5"/>
      <c r="Y481" s="5"/>
      <c r="Z481" s="5"/>
    </row>
    <row r="482" ht="20.25" customHeight="1">
      <c r="A482" s="36"/>
      <c r="B482" s="92"/>
      <c r="C482" s="9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41"/>
      <c r="W482" s="5"/>
      <c r="X482" s="5"/>
      <c r="Y482" s="5"/>
      <c r="Z482" s="5"/>
    </row>
    <row r="483" ht="20.25" customHeight="1">
      <c r="A483" s="36"/>
      <c r="B483" s="92"/>
      <c r="C483" s="9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41"/>
      <c r="W483" s="5"/>
      <c r="X483" s="5"/>
      <c r="Y483" s="5"/>
      <c r="Z483" s="5"/>
    </row>
    <row r="484" ht="20.25" customHeight="1">
      <c r="A484" s="36"/>
      <c r="B484" s="92"/>
      <c r="C484" s="9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41"/>
      <c r="W484" s="5"/>
      <c r="X484" s="5"/>
      <c r="Y484" s="5"/>
      <c r="Z484" s="5"/>
    </row>
    <row r="485" ht="20.25" customHeight="1">
      <c r="A485" s="36"/>
      <c r="B485" s="92"/>
      <c r="C485" s="9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41"/>
      <c r="W485" s="5"/>
      <c r="X485" s="5"/>
      <c r="Y485" s="5"/>
      <c r="Z485" s="5"/>
    </row>
    <row r="486" ht="20.25" customHeight="1">
      <c r="A486" s="36"/>
      <c r="B486" s="92"/>
      <c r="C486" s="9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41"/>
      <c r="W486" s="5"/>
      <c r="X486" s="5"/>
      <c r="Y486" s="5"/>
      <c r="Z486" s="5"/>
    </row>
    <row r="487" ht="20.25" customHeight="1">
      <c r="A487" s="36"/>
      <c r="B487" s="92"/>
      <c r="C487" s="9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41"/>
      <c r="W487" s="5"/>
      <c r="X487" s="5"/>
      <c r="Y487" s="5"/>
      <c r="Z487" s="5"/>
    </row>
    <row r="488" ht="20.25" customHeight="1">
      <c r="A488" s="36"/>
      <c r="B488" s="92"/>
      <c r="C488" s="9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41"/>
      <c r="W488" s="5"/>
      <c r="X488" s="5"/>
      <c r="Y488" s="5"/>
      <c r="Z488" s="5"/>
    </row>
    <row r="489" ht="20.25" customHeight="1">
      <c r="A489" s="36"/>
      <c r="B489" s="92"/>
      <c r="C489" s="9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41"/>
      <c r="W489" s="5"/>
      <c r="X489" s="5"/>
      <c r="Y489" s="5"/>
      <c r="Z489" s="5"/>
    </row>
    <row r="490" ht="20.25" customHeight="1">
      <c r="A490" s="36"/>
      <c r="B490" s="92"/>
      <c r="C490" s="9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41"/>
      <c r="W490" s="5"/>
      <c r="X490" s="5"/>
      <c r="Y490" s="5"/>
      <c r="Z490" s="5"/>
    </row>
    <row r="491" ht="20.25" customHeight="1">
      <c r="A491" s="36"/>
      <c r="B491" s="92"/>
      <c r="C491" s="9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41"/>
      <c r="W491" s="5"/>
      <c r="X491" s="5"/>
      <c r="Y491" s="5"/>
      <c r="Z491" s="5"/>
    </row>
    <row r="492" ht="20.25" customHeight="1">
      <c r="A492" s="36"/>
      <c r="B492" s="92"/>
      <c r="C492" s="9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41"/>
      <c r="W492" s="5"/>
      <c r="X492" s="5"/>
      <c r="Y492" s="5"/>
      <c r="Z492" s="5"/>
    </row>
    <row r="493" ht="20.25" customHeight="1">
      <c r="A493" s="36"/>
      <c r="B493" s="92"/>
      <c r="C493" s="9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41"/>
      <c r="W493" s="5"/>
      <c r="X493" s="5"/>
      <c r="Y493" s="5"/>
      <c r="Z493" s="5"/>
    </row>
    <row r="494" ht="20.25" customHeight="1">
      <c r="A494" s="36"/>
      <c r="B494" s="92"/>
      <c r="C494" s="9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41"/>
      <c r="W494" s="5"/>
      <c r="X494" s="5"/>
      <c r="Y494" s="5"/>
      <c r="Z494" s="5"/>
    </row>
    <row r="495" ht="20.25" customHeight="1">
      <c r="A495" s="36"/>
      <c r="B495" s="92"/>
      <c r="C495" s="9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41"/>
      <c r="W495" s="5"/>
      <c r="X495" s="5"/>
      <c r="Y495" s="5"/>
      <c r="Z495" s="5"/>
    </row>
    <row r="496" ht="20.25" customHeight="1">
      <c r="A496" s="36"/>
      <c r="B496" s="92"/>
      <c r="C496" s="9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41"/>
      <c r="W496" s="5"/>
      <c r="X496" s="5"/>
      <c r="Y496" s="5"/>
      <c r="Z496" s="5"/>
    </row>
    <row r="497" ht="20.25" customHeight="1">
      <c r="A497" s="36"/>
      <c r="B497" s="92"/>
      <c r="C497" s="9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41"/>
      <c r="W497" s="5"/>
      <c r="X497" s="5"/>
      <c r="Y497" s="5"/>
      <c r="Z497" s="5"/>
    </row>
    <row r="498" ht="20.25" customHeight="1">
      <c r="A498" s="36"/>
      <c r="B498" s="92"/>
      <c r="C498" s="9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41"/>
      <c r="W498" s="5"/>
      <c r="X498" s="5"/>
      <c r="Y498" s="5"/>
      <c r="Z498" s="5"/>
    </row>
    <row r="499" ht="20.25" customHeight="1">
      <c r="A499" s="36"/>
      <c r="B499" s="92"/>
      <c r="C499" s="9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41"/>
      <c r="W499" s="5"/>
      <c r="X499" s="5"/>
      <c r="Y499" s="5"/>
      <c r="Z499" s="5"/>
    </row>
    <row r="500" ht="20.25" customHeight="1">
      <c r="A500" s="36"/>
      <c r="B500" s="92"/>
      <c r="C500" s="9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41"/>
      <c r="W500" s="5"/>
      <c r="X500" s="5"/>
      <c r="Y500" s="5"/>
      <c r="Z500" s="5"/>
    </row>
    <row r="501" ht="20.25" customHeight="1">
      <c r="A501" s="36"/>
      <c r="B501" s="92"/>
      <c r="C501" s="9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41"/>
      <c r="W501" s="5"/>
      <c r="X501" s="5"/>
      <c r="Y501" s="5"/>
      <c r="Z501" s="5"/>
    </row>
    <row r="502" ht="20.25" customHeight="1">
      <c r="A502" s="36"/>
      <c r="B502" s="92"/>
      <c r="C502" s="9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41"/>
      <c r="W502" s="5"/>
      <c r="X502" s="5"/>
      <c r="Y502" s="5"/>
      <c r="Z502" s="5"/>
    </row>
    <row r="503" ht="20.25" customHeight="1">
      <c r="A503" s="36"/>
      <c r="B503" s="92"/>
      <c r="C503" s="9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41"/>
      <c r="W503" s="5"/>
      <c r="X503" s="5"/>
      <c r="Y503" s="5"/>
      <c r="Z503" s="5"/>
    </row>
    <row r="504" ht="20.25" customHeight="1">
      <c r="A504" s="36"/>
      <c r="B504" s="92"/>
      <c r="C504" s="9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41"/>
      <c r="W504" s="5"/>
      <c r="X504" s="5"/>
      <c r="Y504" s="5"/>
      <c r="Z504" s="5"/>
    </row>
    <row r="505" ht="20.25" customHeight="1">
      <c r="A505" s="36"/>
      <c r="B505" s="92"/>
      <c r="C505" s="9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41"/>
      <c r="W505" s="5"/>
      <c r="X505" s="5"/>
      <c r="Y505" s="5"/>
      <c r="Z505" s="5"/>
    </row>
    <row r="506" ht="20.25" customHeight="1">
      <c r="A506" s="36"/>
      <c r="B506" s="92"/>
      <c r="C506" s="9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41"/>
      <c r="W506" s="5"/>
      <c r="X506" s="5"/>
      <c r="Y506" s="5"/>
      <c r="Z506" s="5"/>
    </row>
    <row r="507" ht="20.25" customHeight="1">
      <c r="A507" s="36"/>
      <c r="B507" s="92"/>
      <c r="C507" s="9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41"/>
      <c r="W507" s="5"/>
      <c r="X507" s="5"/>
      <c r="Y507" s="5"/>
      <c r="Z507" s="5"/>
    </row>
    <row r="508" ht="20.25" customHeight="1">
      <c r="A508" s="36"/>
      <c r="B508" s="92"/>
      <c r="C508" s="9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41"/>
      <c r="W508" s="5"/>
      <c r="X508" s="5"/>
      <c r="Y508" s="5"/>
      <c r="Z508" s="5"/>
    </row>
    <row r="509" ht="20.25" customHeight="1">
      <c r="A509" s="36"/>
      <c r="B509" s="92"/>
      <c r="C509" s="9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41"/>
      <c r="W509" s="5"/>
      <c r="X509" s="5"/>
      <c r="Y509" s="5"/>
      <c r="Z509" s="5"/>
    </row>
    <row r="510" ht="20.25" customHeight="1">
      <c r="A510" s="36"/>
      <c r="B510" s="92"/>
      <c r="C510" s="9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41"/>
      <c r="W510" s="5"/>
      <c r="X510" s="5"/>
      <c r="Y510" s="5"/>
      <c r="Z510" s="5"/>
    </row>
    <row r="511" ht="20.25" customHeight="1">
      <c r="A511" s="36"/>
      <c r="B511" s="92"/>
      <c r="C511" s="9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41"/>
      <c r="W511" s="5"/>
      <c r="X511" s="5"/>
      <c r="Y511" s="5"/>
      <c r="Z511" s="5"/>
    </row>
    <row r="512" ht="20.25" customHeight="1">
      <c r="A512" s="36"/>
      <c r="B512" s="92"/>
      <c r="C512" s="9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41"/>
      <c r="W512" s="5"/>
      <c r="X512" s="5"/>
      <c r="Y512" s="5"/>
      <c r="Z512" s="5"/>
    </row>
    <row r="513" ht="20.25" customHeight="1">
      <c r="A513" s="36"/>
      <c r="B513" s="92"/>
      <c r="C513" s="9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41"/>
      <c r="W513" s="5"/>
      <c r="X513" s="5"/>
      <c r="Y513" s="5"/>
      <c r="Z513" s="5"/>
    </row>
    <row r="514" ht="20.25" customHeight="1">
      <c r="A514" s="36"/>
      <c r="B514" s="92"/>
      <c r="C514" s="9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41"/>
      <c r="W514" s="5"/>
      <c r="X514" s="5"/>
      <c r="Y514" s="5"/>
      <c r="Z514" s="5"/>
    </row>
    <row r="515" ht="20.25" customHeight="1">
      <c r="A515" s="36"/>
      <c r="B515" s="92"/>
      <c r="C515" s="9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41"/>
      <c r="W515" s="5"/>
      <c r="X515" s="5"/>
      <c r="Y515" s="5"/>
      <c r="Z515" s="5"/>
    </row>
    <row r="516" ht="20.25" customHeight="1">
      <c r="A516" s="36"/>
      <c r="B516" s="92"/>
      <c r="C516" s="9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41"/>
      <c r="W516" s="5"/>
      <c r="X516" s="5"/>
      <c r="Y516" s="5"/>
      <c r="Z516" s="5"/>
    </row>
    <row r="517" ht="20.25" customHeight="1">
      <c r="A517" s="36"/>
      <c r="B517" s="92"/>
      <c r="C517" s="9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41"/>
      <c r="W517" s="5"/>
      <c r="X517" s="5"/>
      <c r="Y517" s="5"/>
      <c r="Z517" s="5"/>
    </row>
    <row r="518" ht="20.25" customHeight="1">
      <c r="A518" s="36"/>
      <c r="B518" s="92"/>
      <c r="C518" s="9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41"/>
      <c r="W518" s="5"/>
      <c r="X518" s="5"/>
      <c r="Y518" s="5"/>
      <c r="Z518" s="5"/>
    </row>
    <row r="519" ht="20.25" customHeight="1">
      <c r="A519" s="36"/>
      <c r="B519" s="92"/>
      <c r="C519" s="9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41"/>
      <c r="W519" s="5"/>
      <c r="X519" s="5"/>
      <c r="Y519" s="5"/>
      <c r="Z519" s="5"/>
    </row>
    <row r="520" ht="20.25" customHeight="1">
      <c r="A520" s="36"/>
      <c r="B520" s="92"/>
      <c r="C520" s="9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41"/>
      <c r="W520" s="5"/>
      <c r="X520" s="5"/>
      <c r="Y520" s="5"/>
      <c r="Z520" s="5"/>
    </row>
    <row r="521" ht="20.25" customHeight="1">
      <c r="A521" s="36"/>
      <c r="B521" s="92"/>
      <c r="C521" s="9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41"/>
      <c r="W521" s="5"/>
      <c r="X521" s="5"/>
      <c r="Y521" s="5"/>
      <c r="Z521" s="5"/>
    </row>
    <row r="522" ht="20.25" customHeight="1">
      <c r="A522" s="36"/>
      <c r="B522" s="92"/>
      <c r="C522" s="9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41"/>
      <c r="W522" s="5"/>
      <c r="X522" s="5"/>
      <c r="Y522" s="5"/>
      <c r="Z522" s="5"/>
    </row>
    <row r="523" ht="20.25" customHeight="1">
      <c r="A523" s="36"/>
      <c r="B523" s="92"/>
      <c r="C523" s="9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41"/>
      <c r="W523" s="5"/>
      <c r="X523" s="5"/>
      <c r="Y523" s="5"/>
      <c r="Z523" s="5"/>
    </row>
    <row r="524" ht="20.25" customHeight="1">
      <c r="A524" s="36"/>
      <c r="B524" s="92"/>
      <c r="C524" s="9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41"/>
      <c r="W524" s="5"/>
      <c r="X524" s="5"/>
      <c r="Y524" s="5"/>
      <c r="Z524" s="5"/>
    </row>
    <row r="525" ht="20.25" customHeight="1">
      <c r="A525" s="36"/>
      <c r="B525" s="92"/>
      <c r="C525" s="9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41"/>
      <c r="W525" s="5"/>
      <c r="X525" s="5"/>
      <c r="Y525" s="5"/>
      <c r="Z525" s="5"/>
    </row>
    <row r="526" ht="20.25" customHeight="1">
      <c r="A526" s="36"/>
      <c r="B526" s="92"/>
      <c r="C526" s="9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41"/>
      <c r="W526" s="5"/>
      <c r="X526" s="5"/>
      <c r="Y526" s="5"/>
      <c r="Z526" s="5"/>
    </row>
    <row r="527" ht="20.25" customHeight="1">
      <c r="A527" s="36"/>
      <c r="B527" s="92"/>
      <c r="C527" s="9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41"/>
      <c r="W527" s="5"/>
      <c r="X527" s="5"/>
      <c r="Y527" s="5"/>
      <c r="Z527" s="5"/>
    </row>
    <row r="528" ht="20.25" customHeight="1">
      <c r="A528" s="36"/>
      <c r="B528" s="92"/>
      <c r="C528" s="9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41"/>
      <c r="W528" s="5"/>
      <c r="X528" s="5"/>
      <c r="Y528" s="5"/>
      <c r="Z528" s="5"/>
    </row>
    <row r="529" ht="20.25" customHeight="1">
      <c r="A529" s="36"/>
      <c r="B529" s="92"/>
      <c r="C529" s="9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41"/>
      <c r="W529" s="5"/>
      <c r="X529" s="5"/>
      <c r="Y529" s="5"/>
      <c r="Z529" s="5"/>
    </row>
    <row r="530" ht="20.25" customHeight="1">
      <c r="A530" s="36"/>
      <c r="B530" s="92"/>
      <c r="C530" s="9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41"/>
      <c r="W530" s="5"/>
      <c r="X530" s="5"/>
      <c r="Y530" s="5"/>
      <c r="Z530" s="5"/>
    </row>
    <row r="531" ht="20.25" customHeight="1">
      <c r="A531" s="36"/>
      <c r="B531" s="92"/>
      <c r="C531" s="9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41"/>
      <c r="W531" s="5"/>
      <c r="X531" s="5"/>
      <c r="Y531" s="5"/>
      <c r="Z531" s="5"/>
    </row>
    <row r="532" ht="20.25" customHeight="1">
      <c r="A532" s="36"/>
      <c r="B532" s="92"/>
      <c r="C532" s="9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41"/>
      <c r="W532" s="5"/>
      <c r="X532" s="5"/>
      <c r="Y532" s="5"/>
      <c r="Z532" s="5"/>
    </row>
    <row r="533" ht="20.25" customHeight="1">
      <c r="A533" s="36"/>
      <c r="B533" s="92"/>
      <c r="C533" s="9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41"/>
      <c r="W533" s="5"/>
      <c r="X533" s="5"/>
      <c r="Y533" s="5"/>
      <c r="Z533" s="5"/>
    </row>
    <row r="534" ht="20.25" customHeight="1">
      <c r="A534" s="36"/>
      <c r="B534" s="92"/>
      <c r="C534" s="9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41"/>
      <c r="W534" s="5"/>
      <c r="X534" s="5"/>
      <c r="Y534" s="5"/>
      <c r="Z534" s="5"/>
    </row>
    <row r="535" ht="20.25" customHeight="1">
      <c r="A535" s="36"/>
      <c r="B535" s="92"/>
      <c r="C535" s="9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41"/>
      <c r="W535" s="5"/>
      <c r="X535" s="5"/>
      <c r="Y535" s="5"/>
      <c r="Z535" s="5"/>
    </row>
    <row r="536" ht="20.25" customHeight="1">
      <c r="A536" s="36"/>
      <c r="B536" s="92"/>
      <c r="C536" s="9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41"/>
      <c r="W536" s="5"/>
      <c r="X536" s="5"/>
      <c r="Y536" s="5"/>
      <c r="Z536" s="5"/>
    </row>
    <row r="537" ht="20.25" customHeight="1">
      <c r="A537" s="36"/>
      <c r="B537" s="92"/>
      <c r="C537" s="9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41"/>
      <c r="W537" s="5"/>
      <c r="X537" s="5"/>
      <c r="Y537" s="5"/>
      <c r="Z537" s="5"/>
    </row>
    <row r="538" ht="20.25" customHeight="1">
      <c r="A538" s="36"/>
      <c r="B538" s="92"/>
      <c r="C538" s="9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41"/>
      <c r="W538" s="5"/>
      <c r="X538" s="5"/>
      <c r="Y538" s="5"/>
      <c r="Z538" s="5"/>
    </row>
    <row r="539" ht="20.25" customHeight="1">
      <c r="A539" s="36"/>
      <c r="B539" s="92"/>
      <c r="C539" s="9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41"/>
      <c r="W539" s="5"/>
      <c r="X539" s="5"/>
      <c r="Y539" s="5"/>
      <c r="Z539" s="5"/>
    </row>
    <row r="540" ht="20.25" customHeight="1">
      <c r="A540" s="36"/>
      <c r="B540" s="92"/>
      <c r="C540" s="9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41"/>
      <c r="W540" s="5"/>
      <c r="X540" s="5"/>
      <c r="Y540" s="5"/>
      <c r="Z540" s="5"/>
    </row>
    <row r="541" ht="20.25" customHeight="1">
      <c r="A541" s="36"/>
      <c r="B541" s="92"/>
      <c r="C541" s="9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41"/>
      <c r="W541" s="5"/>
      <c r="X541" s="5"/>
      <c r="Y541" s="5"/>
      <c r="Z541" s="5"/>
    </row>
    <row r="542" ht="20.25" customHeight="1">
      <c r="A542" s="36"/>
      <c r="B542" s="92"/>
      <c r="C542" s="9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41"/>
      <c r="W542" s="5"/>
      <c r="X542" s="5"/>
      <c r="Y542" s="5"/>
      <c r="Z542" s="5"/>
    </row>
    <row r="543" ht="20.25" customHeight="1">
      <c r="A543" s="36"/>
      <c r="B543" s="92"/>
      <c r="C543" s="9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41"/>
      <c r="W543" s="5"/>
      <c r="X543" s="5"/>
      <c r="Y543" s="5"/>
      <c r="Z543" s="5"/>
    </row>
    <row r="544" ht="20.25" customHeight="1">
      <c r="A544" s="36"/>
      <c r="B544" s="92"/>
      <c r="C544" s="9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41"/>
      <c r="W544" s="5"/>
      <c r="X544" s="5"/>
      <c r="Y544" s="5"/>
      <c r="Z544" s="5"/>
    </row>
    <row r="545" ht="20.25" customHeight="1">
      <c r="A545" s="36"/>
      <c r="B545" s="92"/>
      <c r="C545" s="9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41"/>
      <c r="W545" s="5"/>
      <c r="X545" s="5"/>
      <c r="Y545" s="5"/>
      <c r="Z545" s="5"/>
    </row>
    <row r="546" ht="20.25" customHeight="1">
      <c r="A546" s="36"/>
      <c r="B546" s="92"/>
      <c r="C546" s="9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41"/>
      <c r="W546" s="5"/>
      <c r="X546" s="5"/>
      <c r="Y546" s="5"/>
      <c r="Z546" s="5"/>
    </row>
    <row r="547" ht="20.25" customHeight="1">
      <c r="A547" s="36"/>
      <c r="B547" s="92"/>
      <c r="C547" s="9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41"/>
      <c r="W547" s="5"/>
      <c r="X547" s="5"/>
      <c r="Y547" s="5"/>
      <c r="Z547" s="5"/>
    </row>
    <row r="548" ht="20.25" customHeight="1">
      <c r="A548" s="36"/>
      <c r="B548" s="92"/>
      <c r="C548" s="9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41"/>
      <c r="W548" s="5"/>
      <c r="X548" s="5"/>
      <c r="Y548" s="5"/>
      <c r="Z548" s="5"/>
    </row>
    <row r="549" ht="20.25" customHeight="1">
      <c r="A549" s="36"/>
      <c r="B549" s="92"/>
      <c r="C549" s="9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41"/>
      <c r="W549" s="5"/>
      <c r="X549" s="5"/>
      <c r="Y549" s="5"/>
      <c r="Z549" s="5"/>
    </row>
    <row r="550" ht="20.25" customHeight="1">
      <c r="A550" s="36"/>
      <c r="B550" s="92"/>
      <c r="C550" s="9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41"/>
      <c r="W550" s="5"/>
      <c r="X550" s="5"/>
      <c r="Y550" s="5"/>
      <c r="Z550" s="5"/>
    </row>
    <row r="551" ht="20.25" customHeight="1">
      <c r="A551" s="36"/>
      <c r="B551" s="92"/>
      <c r="C551" s="9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41"/>
      <c r="W551" s="5"/>
      <c r="X551" s="5"/>
      <c r="Y551" s="5"/>
      <c r="Z551" s="5"/>
    </row>
    <row r="552" ht="20.25" customHeight="1">
      <c r="A552" s="36"/>
      <c r="B552" s="92"/>
      <c r="C552" s="9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41"/>
      <c r="W552" s="5"/>
      <c r="X552" s="5"/>
      <c r="Y552" s="5"/>
      <c r="Z552" s="5"/>
    </row>
    <row r="553" ht="20.25" customHeight="1">
      <c r="A553" s="36"/>
      <c r="B553" s="92"/>
      <c r="C553" s="9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41"/>
      <c r="W553" s="5"/>
      <c r="X553" s="5"/>
      <c r="Y553" s="5"/>
      <c r="Z553" s="5"/>
    </row>
    <row r="554" ht="20.25" customHeight="1">
      <c r="A554" s="36"/>
      <c r="B554" s="92"/>
      <c r="C554" s="9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41"/>
      <c r="W554" s="5"/>
      <c r="X554" s="5"/>
      <c r="Y554" s="5"/>
      <c r="Z554" s="5"/>
    </row>
    <row r="555" ht="20.25" customHeight="1">
      <c r="A555" s="36"/>
      <c r="B555" s="92"/>
      <c r="C555" s="9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41"/>
      <c r="W555" s="5"/>
      <c r="X555" s="5"/>
      <c r="Y555" s="5"/>
      <c r="Z555" s="5"/>
    </row>
    <row r="556" ht="20.25" customHeight="1">
      <c r="A556" s="36"/>
      <c r="B556" s="92"/>
      <c r="C556" s="9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41"/>
      <c r="W556" s="5"/>
      <c r="X556" s="5"/>
      <c r="Y556" s="5"/>
      <c r="Z556" s="5"/>
    </row>
    <row r="557" ht="20.25" customHeight="1">
      <c r="A557" s="36"/>
      <c r="B557" s="92"/>
      <c r="C557" s="9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41"/>
      <c r="W557" s="5"/>
      <c r="X557" s="5"/>
      <c r="Y557" s="5"/>
      <c r="Z557" s="5"/>
    </row>
    <row r="558" ht="20.25" customHeight="1">
      <c r="A558" s="36"/>
      <c r="B558" s="92"/>
      <c r="C558" s="9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41"/>
      <c r="W558" s="5"/>
      <c r="X558" s="5"/>
      <c r="Y558" s="5"/>
      <c r="Z558" s="5"/>
    </row>
    <row r="559" ht="20.25" customHeight="1">
      <c r="A559" s="36"/>
      <c r="B559" s="92"/>
      <c r="C559" s="9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41"/>
      <c r="W559" s="5"/>
      <c r="X559" s="5"/>
      <c r="Y559" s="5"/>
      <c r="Z559" s="5"/>
    </row>
    <row r="560" ht="20.25" customHeight="1">
      <c r="A560" s="36"/>
      <c r="B560" s="92"/>
      <c r="C560" s="9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41"/>
      <c r="W560" s="5"/>
      <c r="X560" s="5"/>
      <c r="Y560" s="5"/>
      <c r="Z560" s="5"/>
    </row>
    <row r="561" ht="20.25" customHeight="1">
      <c r="A561" s="36"/>
      <c r="B561" s="92"/>
      <c r="C561" s="9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41"/>
      <c r="W561" s="5"/>
      <c r="X561" s="5"/>
      <c r="Y561" s="5"/>
      <c r="Z561" s="5"/>
    </row>
    <row r="562" ht="20.25" customHeight="1">
      <c r="A562" s="36"/>
      <c r="B562" s="92"/>
      <c r="C562" s="9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41"/>
      <c r="W562" s="5"/>
      <c r="X562" s="5"/>
      <c r="Y562" s="5"/>
      <c r="Z562" s="5"/>
    </row>
    <row r="563" ht="20.25" customHeight="1">
      <c r="A563" s="36"/>
      <c r="B563" s="92"/>
      <c r="C563" s="9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41"/>
      <c r="W563" s="5"/>
      <c r="X563" s="5"/>
      <c r="Y563" s="5"/>
      <c r="Z563" s="5"/>
    </row>
    <row r="564" ht="20.25" customHeight="1">
      <c r="A564" s="36"/>
      <c r="B564" s="92"/>
      <c r="C564" s="9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41"/>
      <c r="W564" s="5"/>
      <c r="X564" s="5"/>
      <c r="Y564" s="5"/>
      <c r="Z564" s="5"/>
    </row>
    <row r="565" ht="20.25" customHeight="1">
      <c r="A565" s="36"/>
      <c r="B565" s="92"/>
      <c r="C565" s="9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41"/>
      <c r="W565" s="5"/>
      <c r="X565" s="5"/>
      <c r="Y565" s="5"/>
      <c r="Z565" s="5"/>
    </row>
    <row r="566" ht="20.25" customHeight="1">
      <c r="A566" s="36"/>
      <c r="B566" s="92"/>
      <c r="C566" s="9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41"/>
      <c r="W566" s="5"/>
      <c r="X566" s="5"/>
      <c r="Y566" s="5"/>
      <c r="Z566" s="5"/>
    </row>
    <row r="567" ht="20.25" customHeight="1">
      <c r="A567" s="36"/>
      <c r="B567" s="92"/>
      <c r="C567" s="9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41"/>
      <c r="W567" s="5"/>
      <c r="X567" s="5"/>
      <c r="Y567" s="5"/>
      <c r="Z567" s="5"/>
    </row>
    <row r="568" ht="20.25" customHeight="1">
      <c r="A568" s="36"/>
      <c r="B568" s="92"/>
      <c r="C568" s="9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41"/>
      <c r="W568" s="5"/>
      <c r="X568" s="5"/>
      <c r="Y568" s="5"/>
      <c r="Z568" s="5"/>
    </row>
    <row r="569" ht="20.25" customHeight="1">
      <c r="A569" s="36"/>
      <c r="B569" s="92"/>
      <c r="C569" s="9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41"/>
      <c r="W569" s="5"/>
      <c r="X569" s="5"/>
      <c r="Y569" s="5"/>
      <c r="Z569" s="5"/>
    </row>
    <row r="570" ht="20.25" customHeight="1">
      <c r="A570" s="36"/>
      <c r="B570" s="92"/>
      <c r="C570" s="9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41"/>
      <c r="W570" s="5"/>
      <c r="X570" s="5"/>
      <c r="Y570" s="5"/>
      <c r="Z570" s="5"/>
    </row>
    <row r="571" ht="20.25" customHeight="1">
      <c r="A571" s="36"/>
      <c r="B571" s="92"/>
      <c r="C571" s="9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41"/>
      <c r="W571" s="5"/>
      <c r="X571" s="5"/>
      <c r="Y571" s="5"/>
      <c r="Z571" s="5"/>
    </row>
    <row r="572" ht="20.25" customHeight="1">
      <c r="A572" s="36"/>
      <c r="B572" s="92"/>
      <c r="C572" s="9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41"/>
      <c r="W572" s="5"/>
      <c r="X572" s="5"/>
      <c r="Y572" s="5"/>
      <c r="Z572" s="5"/>
    </row>
    <row r="573" ht="20.25" customHeight="1">
      <c r="A573" s="36"/>
      <c r="B573" s="92"/>
      <c r="C573" s="9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41"/>
      <c r="W573" s="5"/>
      <c r="X573" s="5"/>
      <c r="Y573" s="5"/>
      <c r="Z573" s="5"/>
    </row>
    <row r="574" ht="20.25" customHeight="1">
      <c r="A574" s="36"/>
      <c r="B574" s="92"/>
      <c r="C574" s="9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41"/>
      <c r="W574" s="5"/>
      <c r="X574" s="5"/>
      <c r="Y574" s="5"/>
      <c r="Z574" s="5"/>
    </row>
    <row r="575" ht="20.25" customHeight="1">
      <c r="A575" s="36"/>
      <c r="B575" s="92"/>
      <c r="C575" s="9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41"/>
      <c r="W575" s="5"/>
      <c r="X575" s="5"/>
      <c r="Y575" s="5"/>
      <c r="Z575" s="5"/>
    </row>
    <row r="576" ht="20.25" customHeight="1">
      <c r="A576" s="36"/>
      <c r="B576" s="92"/>
      <c r="C576" s="9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41"/>
      <c r="W576" s="5"/>
      <c r="X576" s="5"/>
      <c r="Y576" s="5"/>
      <c r="Z576" s="5"/>
    </row>
    <row r="577" ht="20.25" customHeight="1">
      <c r="A577" s="36"/>
      <c r="B577" s="92"/>
      <c r="C577" s="9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41"/>
      <c r="W577" s="5"/>
      <c r="X577" s="5"/>
      <c r="Y577" s="5"/>
      <c r="Z577" s="5"/>
    </row>
    <row r="578" ht="20.25" customHeight="1">
      <c r="A578" s="36"/>
      <c r="B578" s="92"/>
      <c r="C578" s="9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41"/>
      <c r="W578" s="5"/>
      <c r="X578" s="5"/>
      <c r="Y578" s="5"/>
      <c r="Z578" s="5"/>
    </row>
    <row r="579" ht="20.25" customHeight="1">
      <c r="A579" s="36"/>
      <c r="B579" s="92"/>
      <c r="C579" s="9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41"/>
      <c r="W579" s="5"/>
      <c r="X579" s="5"/>
      <c r="Y579" s="5"/>
      <c r="Z579" s="5"/>
    </row>
    <row r="580" ht="20.25" customHeight="1">
      <c r="A580" s="36"/>
      <c r="B580" s="92"/>
      <c r="C580" s="9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41"/>
      <c r="W580" s="5"/>
      <c r="X580" s="5"/>
      <c r="Y580" s="5"/>
      <c r="Z580" s="5"/>
    </row>
    <row r="581" ht="20.25" customHeight="1">
      <c r="A581" s="36"/>
      <c r="B581" s="92"/>
      <c r="C581" s="9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41"/>
      <c r="W581" s="5"/>
      <c r="X581" s="5"/>
      <c r="Y581" s="5"/>
      <c r="Z581" s="5"/>
    </row>
    <row r="582" ht="20.25" customHeight="1">
      <c r="A582" s="36"/>
      <c r="B582" s="92"/>
      <c r="C582" s="9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41"/>
      <c r="W582" s="5"/>
      <c r="X582" s="5"/>
      <c r="Y582" s="5"/>
      <c r="Z582" s="5"/>
    </row>
    <row r="583" ht="20.25" customHeight="1">
      <c r="A583" s="36"/>
      <c r="B583" s="92"/>
      <c r="C583" s="9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41"/>
      <c r="W583" s="5"/>
      <c r="X583" s="5"/>
      <c r="Y583" s="5"/>
      <c r="Z583" s="5"/>
    </row>
    <row r="584" ht="20.25" customHeight="1">
      <c r="A584" s="36"/>
      <c r="B584" s="92"/>
      <c r="C584" s="9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41"/>
      <c r="W584" s="5"/>
      <c r="X584" s="5"/>
      <c r="Y584" s="5"/>
      <c r="Z584" s="5"/>
    </row>
    <row r="585" ht="20.25" customHeight="1">
      <c r="A585" s="36"/>
      <c r="B585" s="92"/>
      <c r="C585" s="9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41"/>
      <c r="W585" s="5"/>
      <c r="X585" s="5"/>
      <c r="Y585" s="5"/>
      <c r="Z585" s="5"/>
    </row>
    <row r="586" ht="20.25" customHeight="1">
      <c r="A586" s="36"/>
      <c r="B586" s="92"/>
      <c r="C586" s="9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41"/>
      <c r="W586" s="5"/>
      <c r="X586" s="5"/>
      <c r="Y586" s="5"/>
      <c r="Z586" s="5"/>
    </row>
    <row r="587" ht="20.25" customHeight="1">
      <c r="A587" s="36"/>
      <c r="B587" s="92"/>
      <c r="C587" s="9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41"/>
      <c r="W587" s="5"/>
      <c r="X587" s="5"/>
      <c r="Y587" s="5"/>
      <c r="Z587" s="5"/>
    </row>
    <row r="588" ht="20.25" customHeight="1">
      <c r="A588" s="36"/>
      <c r="B588" s="92"/>
      <c r="C588" s="9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41"/>
      <c r="W588" s="5"/>
      <c r="X588" s="5"/>
      <c r="Y588" s="5"/>
      <c r="Z588" s="5"/>
    </row>
    <row r="589" ht="20.25" customHeight="1">
      <c r="A589" s="36"/>
      <c r="B589" s="92"/>
      <c r="C589" s="9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41"/>
      <c r="W589" s="5"/>
      <c r="X589" s="5"/>
      <c r="Y589" s="5"/>
      <c r="Z589" s="5"/>
    </row>
    <row r="590" ht="20.25" customHeight="1">
      <c r="A590" s="36"/>
      <c r="B590" s="92"/>
      <c r="C590" s="9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41"/>
      <c r="W590" s="5"/>
      <c r="X590" s="5"/>
      <c r="Y590" s="5"/>
      <c r="Z590" s="5"/>
    </row>
    <row r="591" ht="20.25" customHeight="1">
      <c r="A591" s="36"/>
      <c r="B591" s="92"/>
      <c r="C591" s="9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41"/>
      <c r="W591" s="5"/>
      <c r="X591" s="5"/>
      <c r="Y591" s="5"/>
      <c r="Z591" s="5"/>
    </row>
    <row r="592" ht="20.25" customHeight="1">
      <c r="A592" s="36"/>
      <c r="B592" s="92"/>
      <c r="C592" s="9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41"/>
      <c r="W592" s="5"/>
      <c r="X592" s="5"/>
      <c r="Y592" s="5"/>
      <c r="Z592" s="5"/>
    </row>
    <row r="593" ht="20.25" customHeight="1">
      <c r="A593" s="36"/>
      <c r="B593" s="92"/>
      <c r="C593" s="9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41"/>
      <c r="W593" s="5"/>
      <c r="X593" s="5"/>
      <c r="Y593" s="5"/>
      <c r="Z593" s="5"/>
    </row>
    <row r="594" ht="20.25" customHeight="1">
      <c r="A594" s="36"/>
      <c r="B594" s="92"/>
      <c r="C594" s="9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41"/>
      <c r="W594" s="5"/>
      <c r="X594" s="5"/>
      <c r="Y594" s="5"/>
      <c r="Z594" s="5"/>
    </row>
    <row r="595" ht="20.25" customHeight="1">
      <c r="A595" s="36"/>
      <c r="B595" s="92"/>
      <c r="C595" s="9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41"/>
      <c r="W595" s="5"/>
      <c r="X595" s="5"/>
      <c r="Y595" s="5"/>
      <c r="Z595" s="5"/>
    </row>
    <row r="596" ht="20.25" customHeight="1">
      <c r="A596" s="36"/>
      <c r="B596" s="92"/>
      <c r="C596" s="9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41"/>
      <c r="W596" s="5"/>
      <c r="X596" s="5"/>
      <c r="Y596" s="5"/>
      <c r="Z596" s="5"/>
    </row>
    <row r="597" ht="20.25" customHeight="1">
      <c r="A597" s="36"/>
      <c r="B597" s="92"/>
      <c r="C597" s="9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41"/>
      <c r="W597" s="5"/>
      <c r="X597" s="5"/>
      <c r="Y597" s="5"/>
      <c r="Z597" s="5"/>
    </row>
    <row r="598" ht="20.25" customHeight="1">
      <c r="A598" s="36"/>
      <c r="B598" s="92"/>
      <c r="C598" s="9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41"/>
      <c r="W598" s="5"/>
      <c r="X598" s="5"/>
      <c r="Y598" s="5"/>
      <c r="Z598" s="5"/>
    </row>
    <row r="599" ht="20.25" customHeight="1">
      <c r="A599" s="36"/>
      <c r="B599" s="92"/>
      <c r="C599" s="9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41"/>
      <c r="W599" s="5"/>
      <c r="X599" s="5"/>
      <c r="Y599" s="5"/>
      <c r="Z599" s="5"/>
    </row>
    <row r="600" ht="20.25" customHeight="1">
      <c r="A600" s="36"/>
      <c r="B600" s="92"/>
      <c r="C600" s="9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41"/>
      <c r="W600" s="5"/>
      <c r="X600" s="5"/>
      <c r="Y600" s="5"/>
      <c r="Z600" s="5"/>
    </row>
    <row r="601" ht="20.25" customHeight="1">
      <c r="A601" s="36"/>
      <c r="B601" s="92"/>
      <c r="C601" s="9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41"/>
      <c r="W601" s="5"/>
      <c r="X601" s="5"/>
      <c r="Y601" s="5"/>
      <c r="Z601" s="5"/>
    </row>
    <row r="602" ht="20.25" customHeight="1">
      <c r="A602" s="36"/>
      <c r="B602" s="92"/>
      <c r="C602" s="9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41"/>
      <c r="W602" s="5"/>
      <c r="X602" s="5"/>
      <c r="Y602" s="5"/>
      <c r="Z602" s="5"/>
    </row>
    <row r="603" ht="20.25" customHeight="1">
      <c r="A603" s="36"/>
      <c r="B603" s="92"/>
      <c r="C603" s="9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41"/>
      <c r="W603" s="5"/>
      <c r="X603" s="5"/>
      <c r="Y603" s="5"/>
      <c r="Z603" s="5"/>
    </row>
    <row r="604" ht="20.25" customHeight="1">
      <c r="A604" s="36"/>
      <c r="B604" s="92"/>
      <c r="C604" s="9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41"/>
      <c r="W604" s="5"/>
      <c r="X604" s="5"/>
      <c r="Y604" s="5"/>
      <c r="Z604" s="5"/>
    </row>
    <row r="605" ht="20.25" customHeight="1">
      <c r="A605" s="36"/>
      <c r="B605" s="92"/>
      <c r="C605" s="9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41"/>
      <c r="W605" s="5"/>
      <c r="X605" s="5"/>
      <c r="Y605" s="5"/>
      <c r="Z605" s="5"/>
    </row>
    <row r="606" ht="20.25" customHeight="1">
      <c r="A606" s="36"/>
      <c r="B606" s="92"/>
      <c r="C606" s="9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41"/>
      <c r="W606" s="5"/>
      <c r="X606" s="5"/>
      <c r="Y606" s="5"/>
      <c r="Z606" s="5"/>
    </row>
    <row r="607" ht="20.25" customHeight="1">
      <c r="A607" s="36"/>
      <c r="B607" s="92"/>
      <c r="C607" s="9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41"/>
      <c r="W607" s="5"/>
      <c r="X607" s="5"/>
      <c r="Y607" s="5"/>
      <c r="Z607" s="5"/>
    </row>
    <row r="608" ht="20.25" customHeight="1">
      <c r="A608" s="36"/>
      <c r="B608" s="92"/>
      <c r="C608" s="9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41"/>
      <c r="W608" s="5"/>
      <c r="X608" s="5"/>
      <c r="Y608" s="5"/>
      <c r="Z608" s="5"/>
    </row>
    <row r="609" ht="20.25" customHeight="1">
      <c r="A609" s="36"/>
      <c r="B609" s="92"/>
      <c r="C609" s="9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41"/>
      <c r="W609" s="5"/>
      <c r="X609" s="5"/>
      <c r="Y609" s="5"/>
      <c r="Z609" s="5"/>
    </row>
    <row r="610" ht="20.25" customHeight="1">
      <c r="A610" s="36"/>
      <c r="B610" s="92"/>
      <c r="C610" s="9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41"/>
      <c r="W610" s="5"/>
      <c r="X610" s="5"/>
      <c r="Y610" s="5"/>
      <c r="Z610" s="5"/>
    </row>
    <row r="611" ht="20.25" customHeight="1">
      <c r="A611" s="36"/>
      <c r="B611" s="92"/>
      <c r="C611" s="9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41"/>
      <c r="W611" s="5"/>
      <c r="X611" s="5"/>
      <c r="Y611" s="5"/>
      <c r="Z611" s="5"/>
    </row>
    <row r="612" ht="20.25" customHeight="1">
      <c r="A612" s="36"/>
      <c r="B612" s="92"/>
      <c r="C612" s="9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41"/>
      <c r="W612" s="5"/>
      <c r="X612" s="5"/>
      <c r="Y612" s="5"/>
      <c r="Z612" s="5"/>
    </row>
    <row r="613" ht="20.25" customHeight="1">
      <c r="A613" s="36"/>
      <c r="B613" s="92"/>
      <c r="C613" s="9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41"/>
      <c r="W613" s="5"/>
      <c r="X613" s="5"/>
      <c r="Y613" s="5"/>
      <c r="Z613" s="5"/>
    </row>
    <row r="614" ht="20.25" customHeight="1">
      <c r="A614" s="36"/>
      <c r="B614" s="92"/>
      <c r="C614" s="9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41"/>
      <c r="W614" s="5"/>
      <c r="X614" s="5"/>
      <c r="Y614" s="5"/>
      <c r="Z614" s="5"/>
    </row>
    <row r="615" ht="20.25" customHeight="1">
      <c r="A615" s="36"/>
      <c r="B615" s="92"/>
      <c r="C615" s="9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41"/>
      <c r="W615" s="5"/>
      <c r="X615" s="5"/>
      <c r="Y615" s="5"/>
      <c r="Z615" s="5"/>
    </row>
    <row r="616" ht="20.25" customHeight="1">
      <c r="A616" s="36"/>
      <c r="B616" s="92"/>
      <c r="C616" s="9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41"/>
      <c r="W616" s="5"/>
      <c r="X616" s="5"/>
      <c r="Y616" s="5"/>
      <c r="Z616" s="5"/>
    </row>
    <row r="617" ht="20.25" customHeight="1">
      <c r="A617" s="36"/>
      <c r="B617" s="92"/>
      <c r="C617" s="9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41"/>
      <c r="W617" s="5"/>
      <c r="X617" s="5"/>
      <c r="Y617" s="5"/>
      <c r="Z617" s="5"/>
    </row>
    <row r="618" ht="20.25" customHeight="1">
      <c r="A618" s="36"/>
      <c r="B618" s="92"/>
      <c r="C618" s="9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41"/>
      <c r="W618" s="5"/>
      <c r="X618" s="5"/>
      <c r="Y618" s="5"/>
      <c r="Z618" s="5"/>
    </row>
    <row r="619" ht="20.25" customHeight="1">
      <c r="A619" s="36"/>
      <c r="B619" s="92"/>
      <c r="C619" s="9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41"/>
      <c r="W619" s="5"/>
      <c r="X619" s="5"/>
      <c r="Y619" s="5"/>
      <c r="Z619" s="5"/>
    </row>
    <row r="620" ht="20.25" customHeight="1">
      <c r="A620" s="36"/>
      <c r="B620" s="92"/>
      <c r="C620" s="9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41"/>
      <c r="W620" s="5"/>
      <c r="X620" s="5"/>
      <c r="Y620" s="5"/>
      <c r="Z620" s="5"/>
    </row>
    <row r="621" ht="20.25" customHeight="1">
      <c r="A621" s="36"/>
      <c r="B621" s="92"/>
      <c r="C621" s="9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41"/>
      <c r="W621" s="5"/>
      <c r="X621" s="5"/>
      <c r="Y621" s="5"/>
      <c r="Z621" s="5"/>
    </row>
    <row r="622" ht="20.25" customHeight="1">
      <c r="A622" s="36"/>
      <c r="B622" s="92"/>
      <c r="C622" s="9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41"/>
      <c r="W622" s="5"/>
      <c r="X622" s="5"/>
      <c r="Y622" s="5"/>
      <c r="Z622" s="5"/>
    </row>
    <row r="623" ht="20.25" customHeight="1">
      <c r="A623" s="36"/>
      <c r="B623" s="92"/>
      <c r="C623" s="9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41"/>
      <c r="W623" s="5"/>
      <c r="X623" s="5"/>
      <c r="Y623" s="5"/>
      <c r="Z623" s="5"/>
    </row>
    <row r="624" ht="20.25" customHeight="1">
      <c r="A624" s="36"/>
      <c r="B624" s="92"/>
      <c r="C624" s="9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41"/>
      <c r="W624" s="5"/>
      <c r="X624" s="5"/>
      <c r="Y624" s="5"/>
      <c r="Z624" s="5"/>
    </row>
    <row r="625" ht="20.25" customHeight="1">
      <c r="A625" s="36"/>
      <c r="B625" s="92"/>
      <c r="C625" s="9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41"/>
      <c r="W625" s="5"/>
      <c r="X625" s="5"/>
      <c r="Y625" s="5"/>
      <c r="Z625" s="5"/>
    </row>
    <row r="626" ht="20.25" customHeight="1">
      <c r="A626" s="36"/>
      <c r="B626" s="92"/>
      <c r="C626" s="9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41"/>
      <c r="W626" s="5"/>
      <c r="X626" s="5"/>
      <c r="Y626" s="5"/>
      <c r="Z626" s="5"/>
    </row>
    <row r="627" ht="20.25" customHeight="1">
      <c r="A627" s="36"/>
      <c r="B627" s="92"/>
      <c r="C627" s="9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41"/>
      <c r="W627" s="5"/>
      <c r="X627" s="5"/>
      <c r="Y627" s="5"/>
      <c r="Z627" s="5"/>
    </row>
    <row r="628" ht="20.25" customHeight="1">
      <c r="A628" s="36"/>
      <c r="B628" s="92"/>
      <c r="C628" s="9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41"/>
      <c r="W628" s="5"/>
      <c r="X628" s="5"/>
      <c r="Y628" s="5"/>
      <c r="Z628" s="5"/>
    </row>
    <row r="629" ht="20.25" customHeight="1">
      <c r="A629" s="36"/>
      <c r="B629" s="92"/>
      <c r="C629" s="9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41"/>
      <c r="W629" s="5"/>
      <c r="X629" s="5"/>
      <c r="Y629" s="5"/>
      <c r="Z629" s="5"/>
    </row>
    <row r="630" ht="20.25" customHeight="1">
      <c r="A630" s="36"/>
      <c r="B630" s="92"/>
      <c r="C630" s="9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41"/>
      <c r="W630" s="5"/>
      <c r="X630" s="5"/>
      <c r="Y630" s="5"/>
      <c r="Z630" s="5"/>
    </row>
    <row r="631" ht="20.25" customHeight="1">
      <c r="A631" s="36"/>
      <c r="B631" s="92"/>
      <c r="C631" s="9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41"/>
      <c r="W631" s="5"/>
      <c r="X631" s="5"/>
      <c r="Y631" s="5"/>
      <c r="Z631" s="5"/>
    </row>
    <row r="632" ht="20.25" customHeight="1">
      <c r="A632" s="36"/>
      <c r="B632" s="92"/>
      <c r="C632" s="9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41"/>
      <c r="W632" s="5"/>
      <c r="X632" s="5"/>
      <c r="Y632" s="5"/>
      <c r="Z632" s="5"/>
    </row>
    <row r="633" ht="20.25" customHeight="1">
      <c r="A633" s="36"/>
      <c r="B633" s="92"/>
      <c r="C633" s="9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41"/>
      <c r="W633" s="5"/>
      <c r="X633" s="5"/>
      <c r="Y633" s="5"/>
      <c r="Z633" s="5"/>
    </row>
    <row r="634" ht="20.25" customHeight="1">
      <c r="A634" s="36"/>
      <c r="B634" s="92"/>
      <c r="C634" s="9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41"/>
      <c r="W634" s="5"/>
      <c r="X634" s="5"/>
      <c r="Y634" s="5"/>
      <c r="Z634" s="5"/>
    </row>
    <row r="635" ht="20.25" customHeight="1">
      <c r="A635" s="36"/>
      <c r="B635" s="92"/>
      <c r="C635" s="9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41"/>
      <c r="W635" s="5"/>
      <c r="X635" s="5"/>
      <c r="Y635" s="5"/>
      <c r="Z635" s="5"/>
    </row>
    <row r="636" ht="20.25" customHeight="1">
      <c r="A636" s="36"/>
      <c r="B636" s="92"/>
      <c r="C636" s="9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41"/>
      <c r="W636" s="5"/>
      <c r="X636" s="5"/>
      <c r="Y636" s="5"/>
      <c r="Z636" s="5"/>
    </row>
    <row r="637" ht="20.25" customHeight="1">
      <c r="A637" s="36"/>
      <c r="B637" s="92"/>
      <c r="C637" s="9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41"/>
      <c r="W637" s="5"/>
      <c r="X637" s="5"/>
      <c r="Y637" s="5"/>
      <c r="Z637" s="5"/>
    </row>
    <row r="638" ht="20.25" customHeight="1">
      <c r="A638" s="36"/>
      <c r="B638" s="92"/>
      <c r="C638" s="9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41"/>
      <c r="W638" s="5"/>
      <c r="X638" s="5"/>
      <c r="Y638" s="5"/>
      <c r="Z638" s="5"/>
    </row>
    <row r="639" ht="20.25" customHeight="1">
      <c r="A639" s="36"/>
      <c r="B639" s="92"/>
      <c r="C639" s="9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41"/>
      <c r="W639" s="5"/>
      <c r="X639" s="5"/>
      <c r="Y639" s="5"/>
      <c r="Z639" s="5"/>
    </row>
    <row r="640" ht="20.25" customHeight="1">
      <c r="A640" s="36"/>
      <c r="B640" s="92"/>
      <c r="C640" s="9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41"/>
      <c r="W640" s="5"/>
      <c r="X640" s="5"/>
      <c r="Y640" s="5"/>
      <c r="Z640" s="5"/>
    </row>
    <row r="641" ht="20.25" customHeight="1">
      <c r="A641" s="36"/>
      <c r="B641" s="92"/>
      <c r="C641" s="9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41"/>
      <c r="W641" s="5"/>
      <c r="X641" s="5"/>
      <c r="Y641" s="5"/>
      <c r="Z641" s="5"/>
    </row>
    <row r="642" ht="20.25" customHeight="1">
      <c r="A642" s="36"/>
      <c r="B642" s="92"/>
      <c r="C642" s="9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41"/>
      <c r="W642" s="5"/>
      <c r="X642" s="5"/>
      <c r="Y642" s="5"/>
      <c r="Z642" s="5"/>
    </row>
    <row r="643" ht="20.25" customHeight="1">
      <c r="A643" s="36"/>
      <c r="B643" s="92"/>
      <c r="C643" s="9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41"/>
      <c r="W643" s="5"/>
      <c r="X643" s="5"/>
      <c r="Y643" s="5"/>
      <c r="Z643" s="5"/>
    </row>
    <row r="644" ht="20.25" customHeight="1">
      <c r="A644" s="36"/>
      <c r="B644" s="92"/>
      <c r="C644" s="9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41"/>
      <c r="W644" s="5"/>
      <c r="X644" s="5"/>
      <c r="Y644" s="5"/>
      <c r="Z644" s="5"/>
    </row>
    <row r="645" ht="20.25" customHeight="1">
      <c r="A645" s="36"/>
      <c r="B645" s="92"/>
      <c r="C645" s="9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41"/>
      <c r="W645" s="5"/>
      <c r="X645" s="5"/>
      <c r="Y645" s="5"/>
      <c r="Z645" s="5"/>
    </row>
    <row r="646" ht="20.25" customHeight="1">
      <c r="A646" s="36"/>
      <c r="B646" s="92"/>
      <c r="C646" s="9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41"/>
      <c r="W646" s="5"/>
      <c r="X646" s="5"/>
      <c r="Y646" s="5"/>
      <c r="Z646" s="5"/>
    </row>
    <row r="647" ht="20.25" customHeight="1">
      <c r="A647" s="36"/>
      <c r="B647" s="92"/>
      <c r="C647" s="9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41"/>
      <c r="W647" s="5"/>
      <c r="X647" s="5"/>
      <c r="Y647" s="5"/>
      <c r="Z647" s="5"/>
    </row>
    <row r="648" ht="20.25" customHeight="1">
      <c r="A648" s="36"/>
      <c r="B648" s="92"/>
      <c r="C648" s="9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41"/>
      <c r="W648" s="5"/>
      <c r="X648" s="5"/>
      <c r="Y648" s="5"/>
      <c r="Z648" s="5"/>
    </row>
    <row r="649" ht="20.25" customHeight="1">
      <c r="A649" s="36"/>
      <c r="B649" s="92"/>
      <c r="C649" s="9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41"/>
      <c r="W649" s="5"/>
      <c r="X649" s="5"/>
      <c r="Y649" s="5"/>
      <c r="Z649" s="5"/>
    </row>
    <row r="650" ht="20.25" customHeight="1">
      <c r="A650" s="36"/>
      <c r="B650" s="92"/>
      <c r="C650" s="9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41"/>
      <c r="W650" s="5"/>
      <c r="X650" s="5"/>
      <c r="Y650" s="5"/>
      <c r="Z650" s="5"/>
    </row>
    <row r="651" ht="20.25" customHeight="1">
      <c r="A651" s="36"/>
      <c r="B651" s="92"/>
      <c r="C651" s="9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41"/>
      <c r="W651" s="5"/>
      <c r="X651" s="5"/>
      <c r="Y651" s="5"/>
      <c r="Z651" s="5"/>
    </row>
    <row r="652" ht="20.25" customHeight="1">
      <c r="A652" s="36"/>
      <c r="B652" s="92"/>
      <c r="C652" s="9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41"/>
      <c r="W652" s="5"/>
      <c r="X652" s="5"/>
      <c r="Y652" s="5"/>
      <c r="Z652" s="5"/>
    </row>
    <row r="653" ht="20.25" customHeight="1">
      <c r="A653" s="36"/>
      <c r="B653" s="92"/>
      <c r="C653" s="9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41"/>
      <c r="W653" s="5"/>
      <c r="X653" s="5"/>
      <c r="Y653" s="5"/>
      <c r="Z653" s="5"/>
    </row>
    <row r="654" ht="20.25" customHeight="1">
      <c r="A654" s="36"/>
      <c r="B654" s="92"/>
      <c r="C654" s="9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41"/>
      <c r="W654" s="5"/>
      <c r="X654" s="5"/>
      <c r="Y654" s="5"/>
      <c r="Z654" s="5"/>
    </row>
    <row r="655" ht="20.25" customHeight="1">
      <c r="A655" s="36"/>
      <c r="B655" s="92"/>
      <c r="C655" s="9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41"/>
      <c r="W655" s="5"/>
      <c r="X655" s="5"/>
      <c r="Y655" s="5"/>
      <c r="Z655" s="5"/>
    </row>
    <row r="656" ht="20.25" customHeight="1">
      <c r="A656" s="36"/>
      <c r="B656" s="92"/>
      <c r="C656" s="9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41"/>
      <c r="W656" s="5"/>
      <c r="X656" s="5"/>
      <c r="Y656" s="5"/>
      <c r="Z656" s="5"/>
    </row>
    <row r="657" ht="20.25" customHeight="1">
      <c r="A657" s="36"/>
      <c r="B657" s="92"/>
      <c r="C657" s="9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41"/>
      <c r="W657" s="5"/>
      <c r="X657" s="5"/>
      <c r="Y657" s="5"/>
      <c r="Z657" s="5"/>
    </row>
    <row r="658" ht="20.25" customHeight="1">
      <c r="A658" s="36"/>
      <c r="B658" s="92"/>
      <c r="C658" s="9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41"/>
      <c r="W658" s="5"/>
      <c r="X658" s="5"/>
      <c r="Y658" s="5"/>
      <c r="Z658" s="5"/>
    </row>
    <row r="659" ht="20.25" customHeight="1">
      <c r="A659" s="36"/>
      <c r="B659" s="92"/>
      <c r="C659" s="9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41"/>
      <c r="W659" s="5"/>
      <c r="X659" s="5"/>
      <c r="Y659" s="5"/>
      <c r="Z659" s="5"/>
    </row>
    <row r="660" ht="20.25" customHeight="1">
      <c r="A660" s="36"/>
      <c r="B660" s="92"/>
      <c r="C660" s="9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41"/>
      <c r="W660" s="5"/>
      <c r="X660" s="5"/>
      <c r="Y660" s="5"/>
      <c r="Z660" s="5"/>
    </row>
    <row r="661" ht="20.25" customHeight="1">
      <c r="A661" s="36"/>
      <c r="B661" s="92"/>
      <c r="C661" s="9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41"/>
      <c r="W661" s="5"/>
      <c r="X661" s="5"/>
      <c r="Y661" s="5"/>
      <c r="Z661" s="5"/>
    </row>
    <row r="662" ht="20.25" customHeight="1">
      <c r="A662" s="36"/>
      <c r="B662" s="92"/>
      <c r="C662" s="9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41"/>
      <c r="W662" s="5"/>
      <c r="X662" s="5"/>
      <c r="Y662" s="5"/>
      <c r="Z662" s="5"/>
    </row>
    <row r="663" ht="20.25" customHeight="1">
      <c r="A663" s="36"/>
      <c r="B663" s="92"/>
      <c r="C663" s="9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41"/>
      <c r="W663" s="5"/>
      <c r="X663" s="5"/>
      <c r="Y663" s="5"/>
      <c r="Z663" s="5"/>
    </row>
    <row r="664" ht="20.25" customHeight="1">
      <c r="A664" s="36"/>
      <c r="B664" s="92"/>
      <c r="C664" s="9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41"/>
      <c r="W664" s="5"/>
      <c r="X664" s="5"/>
      <c r="Y664" s="5"/>
      <c r="Z664" s="5"/>
    </row>
    <row r="665" ht="20.25" customHeight="1">
      <c r="A665" s="36"/>
      <c r="B665" s="92"/>
      <c r="C665" s="9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41"/>
      <c r="W665" s="5"/>
      <c r="X665" s="5"/>
      <c r="Y665" s="5"/>
      <c r="Z665" s="5"/>
    </row>
    <row r="666" ht="20.25" customHeight="1">
      <c r="A666" s="36"/>
      <c r="B666" s="92"/>
      <c r="C666" s="9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41"/>
      <c r="W666" s="5"/>
      <c r="X666" s="5"/>
      <c r="Y666" s="5"/>
      <c r="Z666" s="5"/>
    </row>
    <row r="667" ht="20.25" customHeight="1">
      <c r="A667" s="36"/>
      <c r="B667" s="92"/>
      <c r="C667" s="9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41"/>
      <c r="W667" s="5"/>
      <c r="X667" s="5"/>
      <c r="Y667" s="5"/>
      <c r="Z667" s="5"/>
    </row>
    <row r="668" ht="20.25" customHeight="1">
      <c r="A668" s="36"/>
      <c r="B668" s="92"/>
      <c r="C668" s="9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41"/>
      <c r="W668" s="5"/>
      <c r="X668" s="5"/>
      <c r="Y668" s="5"/>
      <c r="Z668" s="5"/>
    </row>
    <row r="669" ht="20.25" customHeight="1">
      <c r="A669" s="36"/>
      <c r="B669" s="92"/>
      <c r="C669" s="9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41"/>
      <c r="W669" s="5"/>
      <c r="X669" s="5"/>
      <c r="Y669" s="5"/>
      <c r="Z669" s="5"/>
    </row>
    <row r="670" ht="20.25" customHeight="1">
      <c r="A670" s="36"/>
      <c r="B670" s="92"/>
      <c r="C670" s="9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41"/>
      <c r="W670" s="5"/>
      <c r="X670" s="5"/>
      <c r="Y670" s="5"/>
      <c r="Z670" s="5"/>
    </row>
    <row r="671" ht="20.25" customHeight="1">
      <c r="A671" s="36"/>
      <c r="B671" s="92"/>
      <c r="C671" s="9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41"/>
      <c r="W671" s="5"/>
      <c r="X671" s="5"/>
      <c r="Y671" s="5"/>
      <c r="Z671" s="5"/>
    </row>
    <row r="672" ht="20.25" customHeight="1">
      <c r="A672" s="36"/>
      <c r="B672" s="92"/>
      <c r="C672" s="9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41"/>
      <c r="W672" s="5"/>
      <c r="X672" s="5"/>
      <c r="Y672" s="5"/>
      <c r="Z672" s="5"/>
    </row>
    <row r="673" ht="20.25" customHeight="1">
      <c r="A673" s="36"/>
      <c r="B673" s="92"/>
      <c r="C673" s="9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41"/>
      <c r="W673" s="5"/>
      <c r="X673" s="5"/>
      <c r="Y673" s="5"/>
      <c r="Z673" s="5"/>
    </row>
    <row r="674" ht="20.25" customHeight="1">
      <c r="A674" s="36"/>
      <c r="B674" s="92"/>
      <c r="C674" s="9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41"/>
      <c r="W674" s="5"/>
      <c r="X674" s="5"/>
      <c r="Y674" s="5"/>
      <c r="Z674" s="5"/>
    </row>
    <row r="675" ht="20.25" customHeight="1">
      <c r="A675" s="36"/>
      <c r="B675" s="92"/>
      <c r="C675" s="9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41"/>
      <c r="W675" s="5"/>
      <c r="X675" s="5"/>
      <c r="Y675" s="5"/>
      <c r="Z675" s="5"/>
    </row>
    <row r="676" ht="20.25" customHeight="1">
      <c r="A676" s="36"/>
      <c r="B676" s="92"/>
      <c r="C676" s="9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41"/>
      <c r="W676" s="5"/>
      <c r="X676" s="5"/>
      <c r="Y676" s="5"/>
      <c r="Z676" s="5"/>
    </row>
    <row r="677" ht="20.25" customHeight="1">
      <c r="A677" s="36"/>
      <c r="B677" s="92"/>
      <c r="C677" s="9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41"/>
      <c r="W677" s="5"/>
      <c r="X677" s="5"/>
      <c r="Y677" s="5"/>
      <c r="Z677" s="5"/>
    </row>
    <row r="678" ht="20.25" customHeight="1">
      <c r="A678" s="36"/>
      <c r="B678" s="92"/>
      <c r="C678" s="9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41"/>
      <c r="W678" s="5"/>
      <c r="X678" s="5"/>
      <c r="Y678" s="5"/>
      <c r="Z678" s="5"/>
    </row>
    <row r="679" ht="20.25" customHeight="1">
      <c r="A679" s="36"/>
      <c r="B679" s="92"/>
      <c r="C679" s="9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41"/>
      <c r="W679" s="5"/>
      <c r="X679" s="5"/>
      <c r="Y679" s="5"/>
      <c r="Z679" s="5"/>
    </row>
    <row r="680" ht="20.25" customHeight="1">
      <c r="A680" s="36"/>
      <c r="B680" s="92"/>
      <c r="C680" s="9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41"/>
      <c r="W680" s="5"/>
      <c r="X680" s="5"/>
      <c r="Y680" s="5"/>
      <c r="Z680" s="5"/>
    </row>
    <row r="681" ht="20.25" customHeight="1">
      <c r="A681" s="36"/>
      <c r="B681" s="92"/>
      <c r="C681" s="9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41"/>
      <c r="W681" s="5"/>
      <c r="X681" s="5"/>
      <c r="Y681" s="5"/>
      <c r="Z681" s="5"/>
    </row>
    <row r="682" ht="20.25" customHeight="1">
      <c r="A682" s="36"/>
      <c r="B682" s="92"/>
      <c r="C682" s="9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41"/>
      <c r="W682" s="5"/>
      <c r="X682" s="5"/>
      <c r="Y682" s="5"/>
      <c r="Z682" s="5"/>
    </row>
    <row r="683" ht="20.25" customHeight="1">
      <c r="A683" s="36"/>
      <c r="B683" s="92"/>
      <c r="C683" s="9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41"/>
      <c r="W683" s="5"/>
      <c r="X683" s="5"/>
      <c r="Y683" s="5"/>
      <c r="Z683" s="5"/>
    </row>
    <row r="684" ht="20.25" customHeight="1">
      <c r="A684" s="36"/>
      <c r="B684" s="92"/>
      <c r="C684" s="9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41"/>
      <c r="W684" s="5"/>
      <c r="X684" s="5"/>
      <c r="Y684" s="5"/>
      <c r="Z684" s="5"/>
    </row>
    <row r="685" ht="20.25" customHeight="1">
      <c r="A685" s="36"/>
      <c r="B685" s="92"/>
      <c r="C685" s="9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41"/>
      <c r="W685" s="5"/>
      <c r="X685" s="5"/>
      <c r="Y685" s="5"/>
      <c r="Z685" s="5"/>
    </row>
    <row r="686" ht="20.25" customHeight="1">
      <c r="A686" s="36"/>
      <c r="B686" s="92"/>
      <c r="C686" s="9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41"/>
      <c r="W686" s="5"/>
      <c r="X686" s="5"/>
      <c r="Y686" s="5"/>
      <c r="Z686" s="5"/>
    </row>
    <row r="687" ht="20.25" customHeight="1">
      <c r="A687" s="36"/>
      <c r="B687" s="92"/>
      <c r="C687" s="9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41"/>
      <c r="W687" s="5"/>
      <c r="X687" s="5"/>
      <c r="Y687" s="5"/>
      <c r="Z687" s="5"/>
    </row>
    <row r="688" ht="20.25" customHeight="1">
      <c r="A688" s="36"/>
      <c r="B688" s="92"/>
      <c r="C688" s="9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41"/>
      <c r="W688" s="5"/>
      <c r="X688" s="5"/>
      <c r="Y688" s="5"/>
      <c r="Z688" s="5"/>
    </row>
    <row r="689" ht="20.25" customHeight="1">
      <c r="A689" s="36"/>
      <c r="B689" s="92"/>
      <c r="C689" s="9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41"/>
      <c r="W689" s="5"/>
      <c r="X689" s="5"/>
      <c r="Y689" s="5"/>
      <c r="Z689" s="5"/>
    </row>
    <row r="690" ht="20.25" customHeight="1">
      <c r="A690" s="36"/>
      <c r="B690" s="92"/>
      <c r="C690" s="9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41"/>
      <c r="W690" s="5"/>
      <c r="X690" s="5"/>
      <c r="Y690" s="5"/>
      <c r="Z690" s="5"/>
    </row>
    <row r="691" ht="20.25" customHeight="1">
      <c r="A691" s="36"/>
      <c r="B691" s="92"/>
      <c r="C691" s="9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41"/>
      <c r="W691" s="5"/>
      <c r="X691" s="5"/>
      <c r="Y691" s="5"/>
      <c r="Z691" s="5"/>
    </row>
    <row r="692" ht="20.25" customHeight="1">
      <c r="A692" s="36"/>
      <c r="B692" s="92"/>
      <c r="C692" s="9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41"/>
      <c r="W692" s="5"/>
      <c r="X692" s="5"/>
      <c r="Y692" s="5"/>
      <c r="Z692" s="5"/>
    </row>
    <row r="693" ht="20.25" customHeight="1">
      <c r="A693" s="36"/>
      <c r="B693" s="92"/>
      <c r="C693" s="9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41"/>
      <c r="W693" s="5"/>
      <c r="X693" s="5"/>
      <c r="Y693" s="5"/>
      <c r="Z693" s="5"/>
    </row>
    <row r="694" ht="20.25" customHeight="1">
      <c r="A694" s="36"/>
      <c r="B694" s="92"/>
      <c r="C694" s="9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41"/>
      <c r="W694" s="5"/>
      <c r="X694" s="5"/>
      <c r="Y694" s="5"/>
      <c r="Z694" s="5"/>
    </row>
    <row r="695" ht="20.25" customHeight="1">
      <c r="A695" s="36"/>
      <c r="B695" s="92"/>
      <c r="C695" s="9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41"/>
      <c r="W695" s="5"/>
      <c r="X695" s="5"/>
      <c r="Y695" s="5"/>
      <c r="Z695" s="5"/>
    </row>
    <row r="696" ht="20.25" customHeight="1">
      <c r="A696" s="36"/>
      <c r="B696" s="92"/>
      <c r="C696" s="9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41"/>
      <c r="W696" s="5"/>
      <c r="X696" s="5"/>
      <c r="Y696" s="5"/>
      <c r="Z696" s="5"/>
    </row>
    <row r="697" ht="20.25" customHeight="1">
      <c r="A697" s="36"/>
      <c r="B697" s="92"/>
      <c r="C697" s="9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41"/>
      <c r="W697" s="5"/>
      <c r="X697" s="5"/>
      <c r="Y697" s="5"/>
      <c r="Z697" s="5"/>
    </row>
    <row r="698" ht="20.25" customHeight="1">
      <c r="A698" s="36"/>
      <c r="B698" s="92"/>
      <c r="C698" s="9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41"/>
      <c r="W698" s="5"/>
      <c r="X698" s="5"/>
      <c r="Y698" s="5"/>
      <c r="Z698" s="5"/>
    </row>
    <row r="699" ht="20.25" customHeight="1">
      <c r="A699" s="36"/>
      <c r="B699" s="92"/>
      <c r="C699" s="9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41"/>
      <c r="W699" s="5"/>
      <c r="X699" s="5"/>
      <c r="Y699" s="5"/>
      <c r="Z699" s="5"/>
    </row>
    <row r="700" ht="20.25" customHeight="1">
      <c r="A700" s="36"/>
      <c r="B700" s="92"/>
      <c r="C700" s="9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41"/>
      <c r="W700" s="5"/>
      <c r="X700" s="5"/>
      <c r="Y700" s="5"/>
      <c r="Z700" s="5"/>
    </row>
    <row r="701" ht="20.25" customHeight="1">
      <c r="A701" s="36"/>
      <c r="B701" s="92"/>
      <c r="C701" s="9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41"/>
      <c r="W701" s="5"/>
      <c r="X701" s="5"/>
      <c r="Y701" s="5"/>
      <c r="Z701" s="5"/>
    </row>
    <row r="702" ht="20.25" customHeight="1">
      <c r="A702" s="36"/>
      <c r="B702" s="92"/>
      <c r="C702" s="9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41"/>
      <c r="W702" s="5"/>
      <c r="X702" s="5"/>
      <c r="Y702" s="5"/>
      <c r="Z702" s="5"/>
    </row>
    <row r="703" ht="20.25" customHeight="1">
      <c r="A703" s="36"/>
      <c r="B703" s="92"/>
      <c r="C703" s="9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41"/>
      <c r="W703" s="5"/>
      <c r="X703" s="5"/>
      <c r="Y703" s="5"/>
      <c r="Z703" s="5"/>
    </row>
    <row r="704" ht="20.25" customHeight="1">
      <c r="A704" s="36"/>
      <c r="B704" s="92"/>
      <c r="C704" s="9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41"/>
      <c r="W704" s="5"/>
      <c r="X704" s="5"/>
      <c r="Y704" s="5"/>
      <c r="Z704" s="5"/>
    </row>
    <row r="705" ht="20.25" customHeight="1">
      <c r="A705" s="36"/>
      <c r="B705" s="92"/>
      <c r="C705" s="9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41"/>
      <c r="W705" s="5"/>
      <c r="X705" s="5"/>
      <c r="Y705" s="5"/>
      <c r="Z705" s="5"/>
    </row>
    <row r="706" ht="20.25" customHeight="1">
      <c r="A706" s="36"/>
      <c r="B706" s="92"/>
      <c r="C706" s="9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41"/>
      <c r="W706" s="5"/>
      <c r="X706" s="5"/>
      <c r="Y706" s="5"/>
      <c r="Z706" s="5"/>
    </row>
    <row r="707" ht="20.25" customHeight="1">
      <c r="A707" s="36"/>
      <c r="B707" s="92"/>
      <c r="C707" s="9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41"/>
      <c r="W707" s="5"/>
      <c r="X707" s="5"/>
      <c r="Y707" s="5"/>
      <c r="Z707" s="5"/>
    </row>
    <row r="708" ht="20.25" customHeight="1">
      <c r="A708" s="36"/>
      <c r="B708" s="92"/>
      <c r="C708" s="9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41"/>
      <c r="W708" s="5"/>
      <c r="X708" s="5"/>
      <c r="Y708" s="5"/>
      <c r="Z708" s="5"/>
    </row>
    <row r="709" ht="20.25" customHeight="1">
      <c r="A709" s="36"/>
      <c r="B709" s="92"/>
      <c r="C709" s="9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41"/>
      <c r="W709" s="5"/>
      <c r="X709" s="5"/>
      <c r="Y709" s="5"/>
      <c r="Z709" s="5"/>
    </row>
    <row r="710" ht="20.25" customHeight="1">
      <c r="A710" s="36"/>
      <c r="B710" s="92"/>
      <c r="C710" s="9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41"/>
      <c r="W710" s="5"/>
      <c r="X710" s="5"/>
      <c r="Y710" s="5"/>
      <c r="Z710" s="5"/>
    </row>
    <row r="711" ht="20.25" customHeight="1">
      <c r="A711" s="36"/>
      <c r="B711" s="92"/>
      <c r="C711" s="9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41"/>
      <c r="W711" s="5"/>
      <c r="X711" s="5"/>
      <c r="Y711" s="5"/>
      <c r="Z711" s="5"/>
    </row>
    <row r="712" ht="20.25" customHeight="1">
      <c r="A712" s="36"/>
      <c r="B712" s="92"/>
      <c r="C712" s="9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41"/>
      <c r="W712" s="5"/>
      <c r="X712" s="5"/>
      <c r="Y712" s="5"/>
      <c r="Z712" s="5"/>
    </row>
    <row r="713" ht="20.25" customHeight="1">
      <c r="A713" s="36"/>
      <c r="B713" s="92"/>
      <c r="C713" s="9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41"/>
      <c r="W713" s="5"/>
      <c r="X713" s="5"/>
      <c r="Y713" s="5"/>
      <c r="Z713" s="5"/>
    </row>
    <row r="714" ht="20.25" customHeight="1">
      <c r="A714" s="36"/>
      <c r="B714" s="92"/>
      <c r="C714" s="9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41"/>
      <c r="W714" s="5"/>
      <c r="X714" s="5"/>
      <c r="Y714" s="5"/>
      <c r="Z714" s="5"/>
    </row>
    <row r="715" ht="20.25" customHeight="1">
      <c r="A715" s="36"/>
      <c r="B715" s="92"/>
      <c r="C715" s="9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41"/>
      <c r="W715" s="5"/>
      <c r="X715" s="5"/>
      <c r="Y715" s="5"/>
      <c r="Z715" s="5"/>
    </row>
    <row r="716" ht="20.25" customHeight="1">
      <c r="A716" s="36"/>
      <c r="B716" s="92"/>
      <c r="C716" s="9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41"/>
      <c r="W716" s="5"/>
      <c r="X716" s="5"/>
      <c r="Y716" s="5"/>
      <c r="Z716" s="5"/>
    </row>
    <row r="717" ht="20.25" customHeight="1">
      <c r="A717" s="36"/>
      <c r="B717" s="92"/>
      <c r="C717" s="9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41"/>
      <c r="W717" s="5"/>
      <c r="X717" s="5"/>
      <c r="Y717" s="5"/>
      <c r="Z717" s="5"/>
    </row>
    <row r="718" ht="20.25" customHeight="1">
      <c r="A718" s="36"/>
      <c r="B718" s="92"/>
      <c r="C718" s="9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41"/>
      <c r="W718" s="5"/>
      <c r="X718" s="5"/>
      <c r="Y718" s="5"/>
      <c r="Z718" s="5"/>
    </row>
    <row r="719" ht="20.25" customHeight="1">
      <c r="A719" s="36"/>
      <c r="B719" s="92"/>
      <c r="C719" s="9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41"/>
      <c r="W719" s="5"/>
      <c r="X719" s="5"/>
      <c r="Y719" s="5"/>
      <c r="Z719" s="5"/>
    </row>
    <row r="720" ht="20.25" customHeight="1">
      <c r="A720" s="36"/>
      <c r="B720" s="92"/>
      <c r="C720" s="9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41"/>
      <c r="W720" s="5"/>
      <c r="X720" s="5"/>
      <c r="Y720" s="5"/>
      <c r="Z720" s="5"/>
    </row>
    <row r="721" ht="20.25" customHeight="1">
      <c r="A721" s="36"/>
      <c r="B721" s="92"/>
      <c r="C721" s="9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41"/>
      <c r="W721" s="5"/>
      <c r="X721" s="5"/>
      <c r="Y721" s="5"/>
      <c r="Z721" s="5"/>
    </row>
    <row r="722" ht="20.25" customHeight="1">
      <c r="A722" s="36"/>
      <c r="B722" s="92"/>
      <c r="C722" s="9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41"/>
      <c r="W722" s="5"/>
      <c r="X722" s="5"/>
      <c r="Y722" s="5"/>
      <c r="Z722" s="5"/>
    </row>
    <row r="723" ht="20.25" customHeight="1">
      <c r="A723" s="36"/>
      <c r="B723" s="92"/>
      <c r="C723" s="9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41"/>
      <c r="W723" s="5"/>
      <c r="X723" s="5"/>
      <c r="Y723" s="5"/>
      <c r="Z723" s="5"/>
    </row>
    <row r="724" ht="20.25" customHeight="1">
      <c r="A724" s="36"/>
      <c r="B724" s="92"/>
      <c r="C724" s="9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41"/>
      <c r="W724" s="5"/>
      <c r="X724" s="5"/>
      <c r="Y724" s="5"/>
      <c r="Z724" s="5"/>
    </row>
    <row r="725" ht="20.25" customHeight="1">
      <c r="A725" s="36"/>
      <c r="B725" s="92"/>
      <c r="C725" s="9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41"/>
      <c r="W725" s="5"/>
      <c r="X725" s="5"/>
      <c r="Y725" s="5"/>
      <c r="Z725" s="5"/>
    </row>
    <row r="726" ht="20.25" customHeight="1">
      <c r="A726" s="36"/>
      <c r="B726" s="92"/>
      <c r="C726" s="9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41"/>
      <c r="W726" s="5"/>
      <c r="X726" s="5"/>
      <c r="Y726" s="5"/>
      <c r="Z726" s="5"/>
    </row>
    <row r="727" ht="20.25" customHeight="1">
      <c r="A727" s="36"/>
      <c r="B727" s="92"/>
      <c r="C727" s="9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41"/>
      <c r="W727" s="5"/>
      <c r="X727" s="5"/>
      <c r="Y727" s="5"/>
      <c r="Z727" s="5"/>
    </row>
    <row r="728" ht="20.25" customHeight="1">
      <c r="A728" s="36"/>
      <c r="B728" s="92"/>
      <c r="C728" s="9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41"/>
      <c r="W728" s="5"/>
      <c r="X728" s="5"/>
      <c r="Y728" s="5"/>
      <c r="Z728" s="5"/>
    </row>
    <row r="729" ht="20.25" customHeight="1">
      <c r="A729" s="36"/>
      <c r="B729" s="92"/>
      <c r="C729" s="9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41"/>
      <c r="W729" s="5"/>
      <c r="X729" s="5"/>
      <c r="Y729" s="5"/>
      <c r="Z729" s="5"/>
    </row>
    <row r="730" ht="20.25" customHeight="1">
      <c r="A730" s="36"/>
      <c r="B730" s="92"/>
      <c r="C730" s="9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41"/>
      <c r="W730" s="5"/>
      <c r="X730" s="5"/>
      <c r="Y730" s="5"/>
      <c r="Z730" s="5"/>
    </row>
    <row r="731" ht="20.25" customHeight="1">
      <c r="A731" s="36"/>
      <c r="B731" s="92"/>
      <c r="C731" s="9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41"/>
      <c r="W731" s="5"/>
      <c r="X731" s="5"/>
      <c r="Y731" s="5"/>
      <c r="Z731" s="5"/>
    </row>
    <row r="732" ht="20.25" customHeight="1">
      <c r="A732" s="36"/>
      <c r="B732" s="92"/>
      <c r="C732" s="9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41"/>
      <c r="W732" s="5"/>
      <c r="X732" s="5"/>
      <c r="Y732" s="5"/>
      <c r="Z732" s="5"/>
    </row>
    <row r="733" ht="20.25" customHeight="1">
      <c r="A733" s="36"/>
      <c r="B733" s="92"/>
      <c r="C733" s="9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41"/>
      <c r="W733" s="5"/>
      <c r="X733" s="5"/>
      <c r="Y733" s="5"/>
      <c r="Z733" s="5"/>
    </row>
    <row r="734" ht="20.25" customHeight="1">
      <c r="A734" s="36"/>
      <c r="B734" s="92"/>
      <c r="C734" s="9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41"/>
      <c r="W734" s="5"/>
      <c r="X734" s="5"/>
      <c r="Y734" s="5"/>
      <c r="Z734" s="5"/>
    </row>
    <row r="735" ht="20.25" customHeight="1">
      <c r="A735" s="36"/>
      <c r="B735" s="92"/>
      <c r="C735" s="9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41"/>
      <c r="W735" s="5"/>
      <c r="X735" s="5"/>
      <c r="Y735" s="5"/>
      <c r="Z735" s="5"/>
    </row>
    <row r="736" ht="20.25" customHeight="1">
      <c r="A736" s="36"/>
      <c r="B736" s="92"/>
      <c r="C736" s="9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41"/>
      <c r="W736" s="5"/>
      <c r="X736" s="5"/>
      <c r="Y736" s="5"/>
      <c r="Z736" s="5"/>
    </row>
    <row r="737" ht="20.25" customHeight="1">
      <c r="A737" s="36"/>
      <c r="B737" s="92"/>
      <c r="C737" s="9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41"/>
      <c r="W737" s="5"/>
      <c r="X737" s="5"/>
      <c r="Y737" s="5"/>
      <c r="Z737" s="5"/>
    </row>
    <row r="738" ht="20.25" customHeight="1">
      <c r="A738" s="36"/>
      <c r="B738" s="92"/>
      <c r="C738" s="9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41"/>
      <c r="W738" s="5"/>
      <c r="X738" s="5"/>
      <c r="Y738" s="5"/>
      <c r="Z738" s="5"/>
    </row>
    <row r="739" ht="20.25" customHeight="1">
      <c r="A739" s="36"/>
      <c r="B739" s="92"/>
      <c r="C739" s="9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41"/>
      <c r="W739" s="5"/>
      <c r="X739" s="5"/>
      <c r="Y739" s="5"/>
      <c r="Z739" s="5"/>
    </row>
    <row r="740" ht="20.25" customHeight="1">
      <c r="A740" s="36"/>
      <c r="B740" s="92"/>
      <c r="C740" s="9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41"/>
      <c r="W740" s="5"/>
      <c r="X740" s="5"/>
      <c r="Y740" s="5"/>
      <c r="Z740" s="5"/>
    </row>
    <row r="741" ht="20.25" customHeight="1">
      <c r="A741" s="36"/>
      <c r="B741" s="92"/>
      <c r="C741" s="9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41"/>
      <c r="W741" s="5"/>
      <c r="X741" s="5"/>
      <c r="Y741" s="5"/>
      <c r="Z741" s="5"/>
    </row>
    <row r="742" ht="20.25" customHeight="1">
      <c r="A742" s="36"/>
      <c r="B742" s="92"/>
      <c r="C742" s="9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41"/>
      <c r="W742" s="5"/>
      <c r="X742" s="5"/>
      <c r="Y742" s="5"/>
      <c r="Z742" s="5"/>
    </row>
    <row r="743" ht="20.25" customHeight="1">
      <c r="A743" s="36"/>
      <c r="B743" s="92"/>
      <c r="C743" s="9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41"/>
      <c r="W743" s="5"/>
      <c r="X743" s="5"/>
      <c r="Y743" s="5"/>
      <c r="Z743" s="5"/>
    </row>
    <row r="744" ht="20.25" customHeight="1">
      <c r="A744" s="36"/>
      <c r="B744" s="92"/>
      <c r="C744" s="9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41"/>
      <c r="W744" s="5"/>
      <c r="X744" s="5"/>
      <c r="Y744" s="5"/>
      <c r="Z744" s="5"/>
    </row>
    <row r="745" ht="20.25" customHeight="1">
      <c r="A745" s="36"/>
      <c r="B745" s="92"/>
      <c r="C745" s="9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41"/>
      <c r="W745" s="5"/>
      <c r="X745" s="5"/>
      <c r="Y745" s="5"/>
      <c r="Z745" s="5"/>
    </row>
    <row r="746" ht="20.25" customHeight="1">
      <c r="A746" s="36"/>
      <c r="B746" s="92"/>
      <c r="C746" s="9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41"/>
      <c r="W746" s="5"/>
      <c r="X746" s="5"/>
      <c r="Y746" s="5"/>
      <c r="Z746" s="5"/>
    </row>
    <row r="747" ht="20.25" customHeight="1">
      <c r="A747" s="36"/>
      <c r="B747" s="92"/>
      <c r="C747" s="9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41"/>
      <c r="W747" s="5"/>
      <c r="X747" s="5"/>
      <c r="Y747" s="5"/>
      <c r="Z747" s="5"/>
    </row>
    <row r="748" ht="20.25" customHeight="1">
      <c r="A748" s="36"/>
      <c r="B748" s="92"/>
      <c r="C748" s="9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41"/>
      <c r="W748" s="5"/>
      <c r="X748" s="5"/>
      <c r="Y748" s="5"/>
      <c r="Z748" s="5"/>
    </row>
    <row r="749" ht="20.25" customHeight="1">
      <c r="A749" s="36"/>
      <c r="B749" s="92"/>
      <c r="C749" s="9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41"/>
      <c r="W749" s="5"/>
      <c r="X749" s="5"/>
      <c r="Y749" s="5"/>
      <c r="Z749" s="5"/>
    </row>
    <row r="750" ht="20.25" customHeight="1">
      <c r="A750" s="36"/>
      <c r="B750" s="92"/>
      <c r="C750" s="9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41"/>
      <c r="W750" s="5"/>
      <c r="X750" s="5"/>
      <c r="Y750" s="5"/>
      <c r="Z750" s="5"/>
    </row>
    <row r="751" ht="20.25" customHeight="1">
      <c r="A751" s="36"/>
      <c r="B751" s="92"/>
      <c r="C751" s="9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41"/>
      <c r="W751" s="5"/>
      <c r="X751" s="5"/>
      <c r="Y751" s="5"/>
      <c r="Z751" s="5"/>
    </row>
    <row r="752" ht="20.25" customHeight="1">
      <c r="A752" s="36"/>
      <c r="B752" s="92"/>
      <c r="C752" s="9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41"/>
      <c r="W752" s="5"/>
      <c r="X752" s="5"/>
      <c r="Y752" s="5"/>
      <c r="Z752" s="5"/>
    </row>
    <row r="753" ht="20.25" customHeight="1">
      <c r="A753" s="36"/>
      <c r="B753" s="92"/>
      <c r="C753" s="9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41"/>
      <c r="W753" s="5"/>
      <c r="X753" s="5"/>
      <c r="Y753" s="5"/>
      <c r="Z753" s="5"/>
    </row>
    <row r="754" ht="20.25" customHeight="1">
      <c r="A754" s="36"/>
      <c r="B754" s="92"/>
      <c r="C754" s="9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41"/>
      <c r="W754" s="5"/>
      <c r="X754" s="5"/>
      <c r="Y754" s="5"/>
      <c r="Z754" s="5"/>
    </row>
    <row r="755" ht="20.25" customHeight="1">
      <c r="A755" s="36"/>
      <c r="B755" s="92"/>
      <c r="C755" s="9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41"/>
      <c r="W755" s="5"/>
      <c r="X755" s="5"/>
      <c r="Y755" s="5"/>
      <c r="Z755" s="5"/>
    </row>
    <row r="756" ht="20.25" customHeight="1">
      <c r="A756" s="36"/>
      <c r="B756" s="92"/>
      <c r="C756" s="9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41"/>
      <c r="W756" s="5"/>
      <c r="X756" s="5"/>
      <c r="Y756" s="5"/>
      <c r="Z756" s="5"/>
    </row>
    <row r="757" ht="20.25" customHeight="1">
      <c r="A757" s="36"/>
      <c r="B757" s="92"/>
      <c r="C757" s="9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41"/>
      <c r="W757" s="5"/>
      <c r="X757" s="5"/>
      <c r="Y757" s="5"/>
      <c r="Z757" s="5"/>
    </row>
    <row r="758" ht="20.25" customHeight="1">
      <c r="A758" s="36"/>
      <c r="B758" s="92"/>
      <c r="C758" s="9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41"/>
      <c r="W758" s="5"/>
      <c r="X758" s="5"/>
      <c r="Y758" s="5"/>
      <c r="Z758" s="5"/>
    </row>
    <row r="759" ht="20.25" customHeight="1">
      <c r="A759" s="36"/>
      <c r="B759" s="92"/>
      <c r="C759" s="9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41"/>
      <c r="W759" s="5"/>
      <c r="X759" s="5"/>
      <c r="Y759" s="5"/>
      <c r="Z759" s="5"/>
    </row>
    <row r="760" ht="20.25" customHeight="1">
      <c r="A760" s="36"/>
      <c r="B760" s="92"/>
      <c r="C760" s="9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41"/>
      <c r="W760" s="5"/>
      <c r="X760" s="5"/>
      <c r="Y760" s="5"/>
      <c r="Z760" s="5"/>
    </row>
    <row r="761" ht="20.25" customHeight="1">
      <c r="A761" s="36"/>
      <c r="B761" s="92"/>
      <c r="C761" s="9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41"/>
      <c r="W761" s="5"/>
      <c r="X761" s="5"/>
      <c r="Y761" s="5"/>
      <c r="Z761" s="5"/>
    </row>
    <row r="762" ht="20.25" customHeight="1">
      <c r="A762" s="36"/>
      <c r="B762" s="92"/>
      <c r="C762" s="9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41"/>
      <c r="W762" s="5"/>
      <c r="X762" s="5"/>
      <c r="Y762" s="5"/>
      <c r="Z762" s="5"/>
    </row>
    <row r="763" ht="20.25" customHeight="1">
      <c r="A763" s="36"/>
      <c r="B763" s="92"/>
      <c r="C763" s="9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41"/>
      <c r="W763" s="5"/>
      <c r="X763" s="5"/>
      <c r="Y763" s="5"/>
      <c r="Z763" s="5"/>
    </row>
    <row r="764" ht="20.25" customHeight="1">
      <c r="A764" s="36"/>
      <c r="B764" s="92"/>
      <c r="C764" s="9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41"/>
      <c r="W764" s="5"/>
      <c r="X764" s="5"/>
      <c r="Y764" s="5"/>
      <c r="Z764" s="5"/>
    </row>
    <row r="765" ht="20.25" customHeight="1">
      <c r="A765" s="36"/>
      <c r="B765" s="92"/>
      <c r="C765" s="9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41"/>
      <c r="W765" s="5"/>
      <c r="X765" s="5"/>
      <c r="Y765" s="5"/>
      <c r="Z765" s="5"/>
    </row>
    <row r="766" ht="20.25" customHeight="1">
      <c r="A766" s="36"/>
      <c r="B766" s="92"/>
      <c r="C766" s="9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41"/>
      <c r="W766" s="5"/>
      <c r="X766" s="5"/>
      <c r="Y766" s="5"/>
      <c r="Z766" s="5"/>
    </row>
    <row r="767" ht="20.25" customHeight="1">
      <c r="A767" s="36"/>
      <c r="B767" s="92"/>
      <c r="C767" s="9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41"/>
      <c r="W767" s="5"/>
      <c r="X767" s="5"/>
      <c r="Y767" s="5"/>
      <c r="Z767" s="5"/>
    </row>
    <row r="768" ht="20.25" customHeight="1">
      <c r="A768" s="36"/>
      <c r="B768" s="92"/>
      <c r="C768" s="9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41"/>
      <c r="W768" s="5"/>
      <c r="X768" s="5"/>
      <c r="Y768" s="5"/>
      <c r="Z768" s="5"/>
    </row>
    <row r="769" ht="20.25" customHeight="1">
      <c r="A769" s="36"/>
      <c r="B769" s="92"/>
      <c r="C769" s="9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41"/>
      <c r="W769" s="5"/>
      <c r="X769" s="5"/>
      <c r="Y769" s="5"/>
      <c r="Z769" s="5"/>
    </row>
    <row r="770" ht="20.25" customHeight="1">
      <c r="A770" s="36"/>
      <c r="B770" s="92"/>
      <c r="C770" s="9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41"/>
      <c r="W770" s="5"/>
      <c r="X770" s="5"/>
      <c r="Y770" s="5"/>
      <c r="Z770" s="5"/>
    </row>
    <row r="771" ht="20.25" customHeight="1">
      <c r="A771" s="36"/>
      <c r="B771" s="92"/>
      <c r="C771" s="9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41"/>
      <c r="W771" s="5"/>
      <c r="X771" s="5"/>
      <c r="Y771" s="5"/>
      <c r="Z771" s="5"/>
    </row>
    <row r="772" ht="20.25" customHeight="1">
      <c r="A772" s="36"/>
      <c r="B772" s="92"/>
      <c r="C772" s="9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41"/>
      <c r="W772" s="5"/>
      <c r="X772" s="5"/>
      <c r="Y772" s="5"/>
      <c r="Z772" s="5"/>
    </row>
    <row r="773" ht="20.25" customHeight="1">
      <c r="A773" s="36"/>
      <c r="B773" s="92"/>
      <c r="C773" s="9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41"/>
      <c r="W773" s="5"/>
      <c r="X773" s="5"/>
      <c r="Y773" s="5"/>
      <c r="Z773" s="5"/>
    </row>
    <row r="774" ht="20.25" customHeight="1">
      <c r="A774" s="36"/>
      <c r="B774" s="92"/>
      <c r="C774" s="9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41"/>
      <c r="W774" s="5"/>
      <c r="X774" s="5"/>
      <c r="Y774" s="5"/>
      <c r="Z774" s="5"/>
    </row>
    <row r="775" ht="20.25" customHeight="1">
      <c r="A775" s="36"/>
      <c r="B775" s="92"/>
      <c r="C775" s="9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41"/>
      <c r="W775" s="5"/>
      <c r="X775" s="5"/>
      <c r="Y775" s="5"/>
      <c r="Z775" s="5"/>
    </row>
    <row r="776" ht="20.25" customHeight="1">
      <c r="A776" s="36"/>
      <c r="B776" s="92"/>
      <c r="C776" s="9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41"/>
      <c r="W776" s="5"/>
      <c r="X776" s="5"/>
      <c r="Y776" s="5"/>
      <c r="Z776" s="5"/>
    </row>
    <row r="777" ht="20.25" customHeight="1">
      <c r="A777" s="36"/>
      <c r="B777" s="92"/>
      <c r="C777" s="9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41"/>
      <c r="W777" s="5"/>
      <c r="X777" s="5"/>
      <c r="Y777" s="5"/>
      <c r="Z777" s="5"/>
    </row>
    <row r="778" ht="20.25" customHeight="1">
      <c r="A778" s="36"/>
      <c r="B778" s="92"/>
      <c r="C778" s="9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41"/>
      <c r="W778" s="5"/>
      <c r="X778" s="5"/>
      <c r="Y778" s="5"/>
      <c r="Z778" s="5"/>
    </row>
    <row r="779" ht="20.25" customHeight="1">
      <c r="A779" s="36"/>
      <c r="B779" s="92"/>
      <c r="C779" s="9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41"/>
      <c r="W779" s="5"/>
      <c r="X779" s="5"/>
      <c r="Y779" s="5"/>
      <c r="Z779" s="5"/>
    </row>
    <row r="780" ht="20.25" customHeight="1">
      <c r="A780" s="36"/>
      <c r="B780" s="92"/>
      <c r="C780" s="9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41"/>
      <c r="W780" s="5"/>
      <c r="X780" s="5"/>
      <c r="Y780" s="5"/>
      <c r="Z780" s="5"/>
    </row>
    <row r="781" ht="20.25" customHeight="1">
      <c r="A781" s="36"/>
      <c r="B781" s="92"/>
      <c r="C781" s="9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41"/>
      <c r="W781" s="5"/>
      <c r="X781" s="5"/>
      <c r="Y781" s="5"/>
      <c r="Z781" s="5"/>
    </row>
    <row r="782" ht="20.25" customHeight="1">
      <c r="A782" s="36"/>
      <c r="B782" s="92"/>
      <c r="C782" s="9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41"/>
      <c r="W782" s="5"/>
      <c r="X782" s="5"/>
      <c r="Y782" s="5"/>
      <c r="Z782" s="5"/>
    </row>
    <row r="783" ht="20.25" customHeight="1">
      <c r="A783" s="36"/>
      <c r="B783" s="92"/>
      <c r="C783" s="9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41"/>
      <c r="W783" s="5"/>
      <c r="X783" s="5"/>
      <c r="Y783" s="5"/>
      <c r="Z783" s="5"/>
    </row>
    <row r="784" ht="20.25" customHeight="1">
      <c r="A784" s="36"/>
      <c r="B784" s="92"/>
      <c r="C784" s="9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41"/>
      <c r="W784" s="5"/>
      <c r="X784" s="5"/>
      <c r="Y784" s="5"/>
      <c r="Z784" s="5"/>
    </row>
    <row r="785" ht="20.25" customHeight="1">
      <c r="A785" s="36"/>
      <c r="B785" s="92"/>
      <c r="C785" s="9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41"/>
      <c r="W785" s="5"/>
      <c r="X785" s="5"/>
      <c r="Y785" s="5"/>
      <c r="Z785" s="5"/>
    </row>
    <row r="786" ht="20.25" customHeight="1">
      <c r="A786" s="36"/>
      <c r="B786" s="92"/>
      <c r="C786" s="9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41"/>
      <c r="W786" s="5"/>
      <c r="X786" s="5"/>
      <c r="Y786" s="5"/>
      <c r="Z786" s="5"/>
    </row>
    <row r="787" ht="20.25" customHeight="1">
      <c r="A787" s="36"/>
      <c r="B787" s="92"/>
      <c r="C787" s="9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41"/>
      <c r="W787" s="5"/>
      <c r="X787" s="5"/>
      <c r="Y787" s="5"/>
      <c r="Z787" s="5"/>
    </row>
    <row r="788" ht="20.25" customHeight="1">
      <c r="A788" s="36"/>
      <c r="B788" s="92"/>
      <c r="C788" s="9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41"/>
      <c r="W788" s="5"/>
      <c r="X788" s="5"/>
      <c r="Y788" s="5"/>
      <c r="Z788" s="5"/>
    </row>
    <row r="789" ht="20.25" customHeight="1">
      <c r="A789" s="36"/>
      <c r="B789" s="92"/>
      <c r="C789" s="9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41"/>
      <c r="W789" s="5"/>
      <c r="X789" s="5"/>
      <c r="Y789" s="5"/>
      <c r="Z789" s="5"/>
    </row>
    <row r="790" ht="20.25" customHeight="1">
      <c r="A790" s="36"/>
      <c r="B790" s="92"/>
      <c r="C790" s="9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41"/>
      <c r="W790" s="5"/>
      <c r="X790" s="5"/>
      <c r="Y790" s="5"/>
      <c r="Z790" s="5"/>
    </row>
    <row r="791" ht="20.25" customHeight="1">
      <c r="A791" s="36"/>
      <c r="B791" s="92"/>
      <c r="C791" s="9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41"/>
      <c r="W791" s="5"/>
      <c r="X791" s="5"/>
      <c r="Y791" s="5"/>
      <c r="Z791" s="5"/>
    </row>
    <row r="792" ht="20.25" customHeight="1">
      <c r="A792" s="36"/>
      <c r="B792" s="92"/>
      <c r="C792" s="9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41"/>
      <c r="W792" s="5"/>
      <c r="X792" s="5"/>
      <c r="Y792" s="5"/>
      <c r="Z792" s="5"/>
    </row>
    <row r="793" ht="20.25" customHeight="1">
      <c r="A793" s="36"/>
      <c r="B793" s="92"/>
      <c r="C793" s="9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41"/>
      <c r="W793" s="5"/>
      <c r="X793" s="5"/>
      <c r="Y793" s="5"/>
      <c r="Z793" s="5"/>
    </row>
    <row r="794" ht="20.25" customHeight="1">
      <c r="A794" s="36"/>
      <c r="B794" s="92"/>
      <c r="C794" s="9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41"/>
      <c r="W794" s="5"/>
      <c r="X794" s="5"/>
      <c r="Y794" s="5"/>
      <c r="Z794" s="5"/>
    </row>
    <row r="795" ht="20.25" customHeight="1">
      <c r="A795" s="36"/>
      <c r="B795" s="92"/>
      <c r="C795" s="9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41"/>
      <c r="W795" s="5"/>
      <c r="X795" s="5"/>
      <c r="Y795" s="5"/>
      <c r="Z795" s="5"/>
    </row>
    <row r="796" ht="20.25" customHeight="1">
      <c r="A796" s="36"/>
      <c r="B796" s="92"/>
      <c r="C796" s="9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41"/>
      <c r="W796" s="5"/>
      <c r="X796" s="5"/>
      <c r="Y796" s="5"/>
      <c r="Z796" s="5"/>
    </row>
    <row r="797" ht="20.25" customHeight="1">
      <c r="A797" s="36"/>
      <c r="B797" s="92"/>
      <c r="C797" s="9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41"/>
      <c r="W797" s="5"/>
      <c r="X797" s="5"/>
      <c r="Y797" s="5"/>
      <c r="Z797" s="5"/>
    </row>
    <row r="798" ht="20.25" customHeight="1">
      <c r="A798" s="36"/>
      <c r="B798" s="92"/>
      <c r="C798" s="9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41"/>
      <c r="W798" s="5"/>
      <c r="X798" s="5"/>
      <c r="Y798" s="5"/>
      <c r="Z798" s="5"/>
    </row>
    <row r="799" ht="20.25" customHeight="1">
      <c r="A799" s="36"/>
      <c r="B799" s="92"/>
      <c r="C799" s="9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41"/>
      <c r="W799" s="5"/>
      <c r="X799" s="5"/>
      <c r="Y799" s="5"/>
      <c r="Z799" s="5"/>
    </row>
    <row r="800" ht="20.25" customHeight="1">
      <c r="A800" s="36"/>
      <c r="B800" s="92"/>
      <c r="C800" s="9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41"/>
      <c r="W800" s="5"/>
      <c r="X800" s="5"/>
      <c r="Y800" s="5"/>
      <c r="Z800" s="5"/>
    </row>
    <row r="801" ht="20.25" customHeight="1">
      <c r="A801" s="36"/>
      <c r="B801" s="92"/>
      <c r="C801" s="9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41"/>
      <c r="W801" s="5"/>
      <c r="X801" s="5"/>
      <c r="Y801" s="5"/>
      <c r="Z801" s="5"/>
    </row>
    <row r="802" ht="20.25" customHeight="1">
      <c r="A802" s="36"/>
      <c r="B802" s="92"/>
      <c r="C802" s="9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41"/>
      <c r="W802" s="5"/>
      <c r="X802" s="5"/>
      <c r="Y802" s="5"/>
      <c r="Z802" s="5"/>
    </row>
    <row r="803" ht="20.25" customHeight="1">
      <c r="A803" s="36"/>
      <c r="B803" s="92"/>
      <c r="C803" s="9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41"/>
      <c r="W803" s="5"/>
      <c r="X803" s="5"/>
      <c r="Y803" s="5"/>
      <c r="Z803" s="5"/>
    </row>
    <row r="804" ht="20.25" customHeight="1">
      <c r="A804" s="36"/>
      <c r="B804" s="92"/>
      <c r="C804" s="9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41"/>
      <c r="W804" s="5"/>
      <c r="X804" s="5"/>
      <c r="Y804" s="5"/>
      <c r="Z804" s="5"/>
    </row>
    <row r="805" ht="20.25" customHeight="1">
      <c r="A805" s="36"/>
      <c r="B805" s="92"/>
      <c r="C805" s="9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41"/>
      <c r="W805" s="5"/>
      <c r="X805" s="5"/>
      <c r="Y805" s="5"/>
      <c r="Z805" s="5"/>
    </row>
    <row r="806" ht="20.25" customHeight="1">
      <c r="A806" s="36"/>
      <c r="B806" s="92"/>
      <c r="C806" s="9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41"/>
      <c r="W806" s="5"/>
      <c r="X806" s="5"/>
      <c r="Y806" s="5"/>
      <c r="Z806" s="5"/>
    </row>
    <row r="807" ht="20.25" customHeight="1">
      <c r="A807" s="36"/>
      <c r="B807" s="92"/>
      <c r="C807" s="9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41"/>
      <c r="W807" s="5"/>
      <c r="X807" s="5"/>
      <c r="Y807" s="5"/>
      <c r="Z807" s="5"/>
    </row>
    <row r="808" ht="20.25" customHeight="1">
      <c r="A808" s="36"/>
      <c r="B808" s="92"/>
      <c r="C808" s="9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41"/>
      <c r="W808" s="5"/>
      <c r="X808" s="5"/>
      <c r="Y808" s="5"/>
      <c r="Z808" s="5"/>
    </row>
    <row r="809" ht="20.25" customHeight="1">
      <c r="A809" s="36"/>
      <c r="B809" s="92"/>
      <c r="C809" s="9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41"/>
      <c r="W809" s="5"/>
      <c r="X809" s="5"/>
      <c r="Y809" s="5"/>
      <c r="Z809" s="5"/>
    </row>
    <row r="810" ht="20.25" customHeight="1">
      <c r="A810" s="36"/>
      <c r="B810" s="92"/>
      <c r="C810" s="9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41"/>
      <c r="W810" s="5"/>
      <c r="X810" s="5"/>
      <c r="Y810" s="5"/>
      <c r="Z810" s="5"/>
    </row>
    <row r="811" ht="20.25" customHeight="1">
      <c r="A811" s="36"/>
      <c r="B811" s="92"/>
      <c r="C811" s="9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41"/>
      <c r="W811" s="5"/>
      <c r="X811" s="5"/>
      <c r="Y811" s="5"/>
      <c r="Z811" s="5"/>
    </row>
    <row r="812" ht="20.25" customHeight="1">
      <c r="A812" s="36"/>
      <c r="B812" s="92"/>
      <c r="C812" s="9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41"/>
      <c r="W812" s="5"/>
      <c r="X812" s="5"/>
      <c r="Y812" s="5"/>
      <c r="Z812" s="5"/>
    </row>
    <row r="813" ht="20.25" customHeight="1">
      <c r="A813" s="36"/>
      <c r="B813" s="92"/>
      <c r="C813" s="9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41"/>
      <c r="W813" s="5"/>
      <c r="X813" s="5"/>
      <c r="Y813" s="5"/>
      <c r="Z813" s="5"/>
    </row>
    <row r="814" ht="20.25" customHeight="1">
      <c r="A814" s="36"/>
      <c r="B814" s="92"/>
      <c r="C814" s="9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41"/>
      <c r="W814" s="5"/>
      <c r="X814" s="5"/>
      <c r="Y814" s="5"/>
      <c r="Z814" s="5"/>
    </row>
    <row r="815" ht="20.25" customHeight="1">
      <c r="A815" s="36"/>
      <c r="B815" s="92"/>
      <c r="C815" s="9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41"/>
      <c r="W815" s="5"/>
      <c r="X815" s="5"/>
      <c r="Y815" s="5"/>
      <c r="Z815" s="5"/>
    </row>
    <row r="816" ht="20.25" customHeight="1">
      <c r="A816" s="36"/>
      <c r="B816" s="92"/>
      <c r="C816" s="9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41"/>
      <c r="W816" s="5"/>
      <c r="X816" s="5"/>
      <c r="Y816" s="5"/>
      <c r="Z816" s="5"/>
    </row>
    <row r="817" ht="20.25" customHeight="1">
      <c r="A817" s="36"/>
      <c r="B817" s="92"/>
      <c r="C817" s="9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41"/>
      <c r="W817" s="5"/>
      <c r="X817" s="5"/>
      <c r="Y817" s="5"/>
      <c r="Z817" s="5"/>
    </row>
    <row r="818" ht="20.25" customHeight="1">
      <c r="A818" s="36"/>
      <c r="B818" s="92"/>
      <c r="C818" s="9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41"/>
      <c r="W818" s="5"/>
      <c r="X818" s="5"/>
      <c r="Y818" s="5"/>
      <c r="Z818" s="5"/>
    </row>
    <row r="819" ht="20.25" customHeight="1">
      <c r="A819" s="36"/>
      <c r="B819" s="92"/>
      <c r="C819" s="9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41"/>
      <c r="W819" s="5"/>
      <c r="X819" s="5"/>
      <c r="Y819" s="5"/>
      <c r="Z819" s="5"/>
    </row>
    <row r="820" ht="20.25" customHeight="1">
      <c r="A820" s="36"/>
      <c r="B820" s="92"/>
      <c r="C820" s="9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41"/>
      <c r="W820" s="5"/>
      <c r="X820" s="5"/>
      <c r="Y820" s="5"/>
      <c r="Z820" s="5"/>
    </row>
    <row r="821" ht="20.25" customHeight="1">
      <c r="A821" s="36"/>
      <c r="B821" s="92"/>
      <c r="C821" s="9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41"/>
      <c r="W821" s="5"/>
      <c r="X821" s="5"/>
      <c r="Y821" s="5"/>
      <c r="Z821" s="5"/>
    </row>
    <row r="822" ht="20.25" customHeight="1">
      <c r="A822" s="36"/>
      <c r="B822" s="92"/>
      <c r="C822" s="9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41"/>
      <c r="W822" s="5"/>
      <c r="X822" s="5"/>
      <c r="Y822" s="5"/>
      <c r="Z822" s="5"/>
    </row>
    <row r="823" ht="20.25" customHeight="1">
      <c r="A823" s="36"/>
      <c r="B823" s="92"/>
      <c r="C823" s="9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41"/>
      <c r="W823" s="5"/>
      <c r="X823" s="5"/>
      <c r="Y823" s="5"/>
      <c r="Z823" s="5"/>
    </row>
    <row r="824" ht="20.25" customHeight="1">
      <c r="A824" s="36"/>
      <c r="B824" s="92"/>
      <c r="C824" s="9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41"/>
      <c r="W824" s="5"/>
      <c r="X824" s="5"/>
      <c r="Y824" s="5"/>
      <c r="Z824" s="5"/>
    </row>
    <row r="825" ht="20.25" customHeight="1">
      <c r="A825" s="36"/>
      <c r="B825" s="92"/>
      <c r="C825" s="9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41"/>
      <c r="W825" s="5"/>
      <c r="X825" s="5"/>
      <c r="Y825" s="5"/>
      <c r="Z825" s="5"/>
    </row>
    <row r="826" ht="20.25" customHeight="1">
      <c r="A826" s="36"/>
      <c r="B826" s="92"/>
      <c r="C826" s="9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41"/>
      <c r="W826" s="5"/>
      <c r="X826" s="5"/>
      <c r="Y826" s="5"/>
      <c r="Z826" s="5"/>
    </row>
    <row r="827" ht="20.25" customHeight="1">
      <c r="A827" s="36"/>
      <c r="B827" s="92"/>
      <c r="C827" s="9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41"/>
      <c r="W827" s="5"/>
      <c r="X827" s="5"/>
      <c r="Y827" s="5"/>
      <c r="Z827" s="5"/>
    </row>
    <row r="828" ht="20.25" customHeight="1">
      <c r="A828" s="36"/>
      <c r="B828" s="92"/>
      <c r="C828" s="9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41"/>
      <c r="W828" s="5"/>
      <c r="X828" s="5"/>
      <c r="Y828" s="5"/>
      <c r="Z828" s="5"/>
    </row>
    <row r="829" ht="20.25" customHeight="1">
      <c r="A829" s="36"/>
      <c r="B829" s="92"/>
      <c r="C829" s="9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41"/>
      <c r="W829" s="5"/>
      <c r="X829" s="5"/>
      <c r="Y829" s="5"/>
      <c r="Z829" s="5"/>
    </row>
    <row r="830" ht="20.25" customHeight="1">
      <c r="A830" s="36"/>
      <c r="B830" s="92"/>
      <c r="C830" s="9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41"/>
      <c r="W830" s="5"/>
      <c r="X830" s="5"/>
      <c r="Y830" s="5"/>
      <c r="Z830" s="5"/>
    </row>
    <row r="831" ht="20.25" customHeight="1">
      <c r="A831" s="36"/>
      <c r="B831" s="92"/>
      <c r="C831" s="9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41"/>
      <c r="W831" s="5"/>
      <c r="X831" s="5"/>
      <c r="Y831" s="5"/>
      <c r="Z831" s="5"/>
    </row>
    <row r="832" ht="20.25" customHeight="1">
      <c r="A832" s="36"/>
      <c r="B832" s="92"/>
      <c r="C832" s="9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41"/>
      <c r="W832" s="5"/>
      <c r="X832" s="5"/>
      <c r="Y832" s="5"/>
      <c r="Z832" s="5"/>
    </row>
    <row r="833" ht="20.25" customHeight="1">
      <c r="A833" s="36"/>
      <c r="B833" s="92"/>
      <c r="C833" s="9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41"/>
      <c r="W833" s="5"/>
      <c r="X833" s="5"/>
      <c r="Y833" s="5"/>
      <c r="Z833" s="5"/>
    </row>
    <row r="834" ht="20.25" customHeight="1">
      <c r="A834" s="36"/>
      <c r="B834" s="92"/>
      <c r="C834" s="9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41"/>
      <c r="W834" s="5"/>
      <c r="X834" s="5"/>
      <c r="Y834" s="5"/>
      <c r="Z834" s="5"/>
    </row>
    <row r="835" ht="20.25" customHeight="1">
      <c r="A835" s="36"/>
      <c r="B835" s="92"/>
      <c r="C835" s="9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41"/>
      <c r="W835" s="5"/>
      <c r="X835" s="5"/>
      <c r="Y835" s="5"/>
      <c r="Z835" s="5"/>
    </row>
    <row r="836" ht="20.25" customHeight="1">
      <c r="A836" s="36"/>
      <c r="B836" s="92"/>
      <c r="C836" s="9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41"/>
      <c r="W836" s="5"/>
      <c r="X836" s="5"/>
      <c r="Y836" s="5"/>
      <c r="Z836" s="5"/>
    </row>
    <row r="837" ht="20.25" customHeight="1">
      <c r="A837" s="36"/>
      <c r="B837" s="92"/>
      <c r="C837" s="9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41"/>
      <c r="W837" s="5"/>
      <c r="X837" s="5"/>
      <c r="Y837" s="5"/>
      <c r="Z837" s="5"/>
    </row>
    <row r="838" ht="20.25" customHeight="1">
      <c r="A838" s="36"/>
      <c r="B838" s="92"/>
      <c r="C838" s="9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41"/>
      <c r="W838" s="5"/>
      <c r="X838" s="5"/>
      <c r="Y838" s="5"/>
      <c r="Z838" s="5"/>
    </row>
    <row r="839" ht="20.25" customHeight="1">
      <c r="A839" s="36"/>
      <c r="B839" s="92"/>
      <c r="C839" s="9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41"/>
      <c r="W839" s="5"/>
      <c r="X839" s="5"/>
      <c r="Y839" s="5"/>
      <c r="Z839" s="5"/>
    </row>
    <row r="840" ht="20.25" customHeight="1">
      <c r="A840" s="36"/>
      <c r="B840" s="92"/>
      <c r="C840" s="9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41"/>
      <c r="W840" s="5"/>
      <c r="X840" s="5"/>
      <c r="Y840" s="5"/>
      <c r="Z840" s="5"/>
    </row>
    <row r="841" ht="20.25" customHeight="1">
      <c r="A841" s="36"/>
      <c r="B841" s="92"/>
      <c r="C841" s="9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41"/>
      <c r="W841" s="5"/>
      <c r="X841" s="5"/>
      <c r="Y841" s="5"/>
      <c r="Z841" s="5"/>
    </row>
    <row r="842" ht="20.25" customHeight="1">
      <c r="A842" s="36"/>
      <c r="B842" s="92"/>
      <c r="C842" s="9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41"/>
      <c r="W842" s="5"/>
      <c r="X842" s="5"/>
      <c r="Y842" s="5"/>
      <c r="Z842" s="5"/>
    </row>
    <row r="843" ht="20.25" customHeight="1">
      <c r="A843" s="36"/>
      <c r="B843" s="92"/>
      <c r="C843" s="9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41"/>
      <c r="W843" s="5"/>
      <c r="X843" s="5"/>
      <c r="Y843" s="5"/>
      <c r="Z843" s="5"/>
    </row>
    <row r="844" ht="20.25" customHeight="1">
      <c r="A844" s="36"/>
      <c r="B844" s="92"/>
      <c r="C844" s="9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41"/>
      <c r="W844" s="5"/>
      <c r="X844" s="5"/>
      <c r="Y844" s="5"/>
      <c r="Z844" s="5"/>
    </row>
    <row r="845" ht="20.25" customHeight="1">
      <c r="A845" s="36"/>
      <c r="B845" s="92"/>
      <c r="C845" s="9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41"/>
      <c r="W845" s="5"/>
      <c r="X845" s="5"/>
      <c r="Y845" s="5"/>
      <c r="Z845" s="5"/>
    </row>
    <row r="846" ht="20.25" customHeight="1">
      <c r="A846" s="36"/>
      <c r="B846" s="92"/>
      <c r="C846" s="9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41"/>
      <c r="W846" s="5"/>
      <c r="X846" s="5"/>
      <c r="Y846" s="5"/>
      <c r="Z846" s="5"/>
    </row>
    <row r="847" ht="20.25" customHeight="1">
      <c r="A847" s="36"/>
      <c r="B847" s="92"/>
      <c r="C847" s="9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41"/>
      <c r="W847" s="5"/>
      <c r="X847" s="5"/>
      <c r="Y847" s="5"/>
      <c r="Z847" s="5"/>
    </row>
    <row r="848" ht="20.25" customHeight="1">
      <c r="A848" s="36"/>
      <c r="B848" s="92"/>
      <c r="C848" s="9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41"/>
      <c r="W848" s="5"/>
      <c r="X848" s="5"/>
      <c r="Y848" s="5"/>
      <c r="Z848" s="5"/>
    </row>
    <row r="849" ht="20.25" customHeight="1">
      <c r="A849" s="36"/>
      <c r="B849" s="92"/>
      <c r="C849" s="9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41"/>
      <c r="W849" s="5"/>
      <c r="X849" s="5"/>
      <c r="Y849" s="5"/>
      <c r="Z849" s="5"/>
    </row>
    <row r="850" ht="20.25" customHeight="1">
      <c r="A850" s="36"/>
      <c r="B850" s="92"/>
      <c r="C850" s="9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41"/>
      <c r="W850" s="5"/>
      <c r="X850" s="5"/>
      <c r="Y850" s="5"/>
      <c r="Z850" s="5"/>
    </row>
    <row r="851" ht="20.25" customHeight="1">
      <c r="A851" s="36"/>
      <c r="B851" s="92"/>
      <c r="C851" s="9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41"/>
      <c r="W851" s="5"/>
      <c r="X851" s="5"/>
      <c r="Y851" s="5"/>
      <c r="Z851" s="5"/>
    </row>
    <row r="852" ht="20.25" customHeight="1">
      <c r="A852" s="36"/>
      <c r="B852" s="92"/>
      <c r="C852" s="9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41"/>
      <c r="W852" s="5"/>
      <c r="X852" s="5"/>
      <c r="Y852" s="5"/>
      <c r="Z852" s="5"/>
    </row>
    <row r="853" ht="20.25" customHeight="1">
      <c r="A853" s="36"/>
      <c r="B853" s="92"/>
      <c r="C853" s="9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41"/>
      <c r="W853" s="5"/>
      <c r="X853" s="5"/>
      <c r="Y853" s="5"/>
      <c r="Z853" s="5"/>
    </row>
    <row r="854" ht="20.25" customHeight="1">
      <c r="A854" s="36"/>
      <c r="B854" s="92"/>
      <c r="C854" s="9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41"/>
      <c r="W854" s="5"/>
      <c r="X854" s="5"/>
      <c r="Y854" s="5"/>
      <c r="Z854" s="5"/>
    </row>
    <row r="855" ht="20.25" customHeight="1">
      <c r="A855" s="36"/>
      <c r="B855" s="92"/>
      <c r="C855" s="9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41"/>
      <c r="W855" s="5"/>
      <c r="X855" s="5"/>
      <c r="Y855" s="5"/>
      <c r="Z855" s="5"/>
    </row>
    <row r="856" ht="20.25" customHeight="1">
      <c r="A856" s="36"/>
      <c r="B856" s="92"/>
      <c r="C856" s="9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41"/>
      <c r="W856" s="5"/>
      <c r="X856" s="5"/>
      <c r="Y856" s="5"/>
      <c r="Z856" s="5"/>
    </row>
    <row r="857" ht="20.25" customHeight="1">
      <c r="A857" s="36"/>
      <c r="B857" s="92"/>
      <c r="C857" s="9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41"/>
      <c r="W857" s="5"/>
      <c r="X857" s="5"/>
      <c r="Y857" s="5"/>
      <c r="Z857" s="5"/>
    </row>
    <row r="858" ht="20.25" customHeight="1">
      <c r="A858" s="36"/>
      <c r="B858" s="92"/>
      <c r="C858" s="9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41"/>
      <c r="W858" s="5"/>
      <c r="X858" s="5"/>
      <c r="Y858" s="5"/>
      <c r="Z858" s="5"/>
    </row>
    <row r="859" ht="20.25" customHeight="1">
      <c r="A859" s="36"/>
      <c r="B859" s="92"/>
      <c r="C859" s="9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41"/>
      <c r="W859" s="5"/>
      <c r="X859" s="5"/>
      <c r="Y859" s="5"/>
      <c r="Z859" s="5"/>
    </row>
    <row r="860" ht="20.25" customHeight="1">
      <c r="A860" s="36"/>
      <c r="B860" s="92"/>
      <c r="C860" s="9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41"/>
      <c r="W860" s="5"/>
      <c r="X860" s="5"/>
      <c r="Y860" s="5"/>
      <c r="Z860" s="5"/>
    </row>
    <row r="861" ht="20.25" customHeight="1">
      <c r="A861" s="36"/>
      <c r="B861" s="92"/>
      <c r="C861" s="9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41"/>
      <c r="W861" s="5"/>
      <c r="X861" s="5"/>
      <c r="Y861" s="5"/>
      <c r="Z861" s="5"/>
    </row>
    <row r="862" ht="20.25" customHeight="1">
      <c r="A862" s="36"/>
      <c r="B862" s="92"/>
      <c r="C862" s="9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41"/>
      <c r="W862" s="5"/>
      <c r="X862" s="5"/>
      <c r="Y862" s="5"/>
      <c r="Z862" s="5"/>
    </row>
    <row r="863" ht="20.25" customHeight="1">
      <c r="A863" s="36"/>
      <c r="B863" s="92"/>
      <c r="C863" s="9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41"/>
      <c r="W863" s="5"/>
      <c r="X863" s="5"/>
      <c r="Y863" s="5"/>
      <c r="Z863" s="5"/>
    </row>
    <row r="864" ht="20.25" customHeight="1">
      <c r="A864" s="36"/>
      <c r="B864" s="92"/>
      <c r="C864" s="9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41"/>
      <c r="W864" s="5"/>
      <c r="X864" s="5"/>
      <c r="Y864" s="5"/>
      <c r="Z864" s="5"/>
    </row>
    <row r="865" ht="20.25" customHeight="1">
      <c r="A865" s="36"/>
      <c r="B865" s="92"/>
      <c r="C865" s="9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41"/>
      <c r="W865" s="5"/>
      <c r="X865" s="5"/>
      <c r="Y865" s="5"/>
      <c r="Z865" s="5"/>
    </row>
    <row r="866" ht="20.25" customHeight="1">
      <c r="A866" s="36"/>
      <c r="B866" s="92"/>
      <c r="C866" s="9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41"/>
      <c r="W866" s="5"/>
      <c r="X866" s="5"/>
      <c r="Y866" s="5"/>
      <c r="Z866" s="5"/>
    </row>
    <row r="867" ht="20.25" customHeight="1">
      <c r="A867" s="36"/>
      <c r="B867" s="92"/>
      <c r="C867" s="9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41"/>
      <c r="W867" s="5"/>
      <c r="X867" s="5"/>
      <c r="Y867" s="5"/>
      <c r="Z867" s="5"/>
    </row>
    <row r="868" ht="20.25" customHeight="1">
      <c r="A868" s="36"/>
      <c r="B868" s="92"/>
      <c r="C868" s="9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41"/>
      <c r="W868" s="5"/>
      <c r="X868" s="5"/>
      <c r="Y868" s="5"/>
      <c r="Z868" s="5"/>
    </row>
    <row r="869" ht="20.25" customHeight="1">
      <c r="A869" s="36"/>
      <c r="B869" s="92"/>
      <c r="C869" s="9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41"/>
      <c r="W869" s="5"/>
      <c r="X869" s="5"/>
      <c r="Y869" s="5"/>
      <c r="Z869" s="5"/>
    </row>
    <row r="870" ht="20.25" customHeight="1">
      <c r="A870" s="36"/>
      <c r="B870" s="92"/>
      <c r="C870" s="9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41"/>
      <c r="W870" s="5"/>
      <c r="X870" s="5"/>
      <c r="Y870" s="5"/>
      <c r="Z870" s="5"/>
    </row>
    <row r="871" ht="20.25" customHeight="1">
      <c r="A871" s="36"/>
      <c r="B871" s="92"/>
      <c r="C871" s="9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41"/>
      <c r="W871" s="5"/>
      <c r="X871" s="5"/>
      <c r="Y871" s="5"/>
      <c r="Z871" s="5"/>
    </row>
    <row r="872" ht="20.25" customHeight="1">
      <c r="A872" s="36"/>
      <c r="B872" s="92"/>
      <c r="C872" s="9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41"/>
      <c r="W872" s="5"/>
      <c r="X872" s="5"/>
      <c r="Y872" s="5"/>
      <c r="Z872" s="5"/>
    </row>
    <row r="873" ht="20.25" customHeight="1">
      <c r="A873" s="36"/>
      <c r="B873" s="92"/>
      <c r="C873" s="9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41"/>
      <c r="W873" s="5"/>
      <c r="X873" s="5"/>
      <c r="Y873" s="5"/>
      <c r="Z873" s="5"/>
    </row>
    <row r="874" ht="20.25" customHeight="1">
      <c r="A874" s="36"/>
      <c r="B874" s="92"/>
      <c r="C874" s="9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41"/>
      <c r="W874" s="5"/>
      <c r="X874" s="5"/>
      <c r="Y874" s="5"/>
      <c r="Z874" s="5"/>
    </row>
    <row r="875" ht="20.25" customHeight="1">
      <c r="A875" s="36"/>
      <c r="B875" s="92"/>
      <c r="C875" s="9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41"/>
      <c r="W875" s="5"/>
      <c r="X875" s="5"/>
      <c r="Y875" s="5"/>
      <c r="Z875" s="5"/>
    </row>
    <row r="876" ht="20.25" customHeight="1">
      <c r="A876" s="36"/>
      <c r="B876" s="92"/>
      <c r="C876" s="9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41"/>
      <c r="W876" s="5"/>
      <c r="X876" s="5"/>
      <c r="Y876" s="5"/>
      <c r="Z876" s="5"/>
    </row>
    <row r="877" ht="20.25" customHeight="1">
      <c r="A877" s="36"/>
      <c r="B877" s="92"/>
      <c r="C877" s="9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41"/>
      <c r="W877" s="5"/>
      <c r="X877" s="5"/>
      <c r="Y877" s="5"/>
      <c r="Z877" s="5"/>
    </row>
    <row r="878" ht="20.25" customHeight="1">
      <c r="A878" s="36"/>
      <c r="B878" s="92"/>
      <c r="C878" s="9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41"/>
      <c r="W878" s="5"/>
      <c r="X878" s="5"/>
      <c r="Y878" s="5"/>
      <c r="Z878" s="5"/>
    </row>
    <row r="879" ht="20.25" customHeight="1">
      <c r="A879" s="36"/>
      <c r="B879" s="92"/>
      <c r="C879" s="9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41"/>
      <c r="W879" s="5"/>
      <c r="X879" s="5"/>
      <c r="Y879" s="5"/>
      <c r="Z879" s="5"/>
    </row>
    <row r="880" ht="20.25" customHeight="1">
      <c r="A880" s="36"/>
      <c r="B880" s="92"/>
      <c r="C880" s="9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41"/>
      <c r="W880" s="5"/>
      <c r="X880" s="5"/>
      <c r="Y880" s="5"/>
      <c r="Z880" s="5"/>
    </row>
    <row r="881" ht="20.25" customHeight="1">
      <c r="A881" s="36"/>
      <c r="B881" s="92"/>
      <c r="C881" s="9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41"/>
      <c r="W881" s="5"/>
      <c r="X881" s="5"/>
      <c r="Y881" s="5"/>
      <c r="Z881" s="5"/>
    </row>
    <row r="882" ht="20.25" customHeight="1">
      <c r="A882" s="36"/>
      <c r="B882" s="92"/>
      <c r="C882" s="9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41"/>
      <c r="W882" s="5"/>
      <c r="X882" s="5"/>
      <c r="Y882" s="5"/>
      <c r="Z882" s="5"/>
    </row>
    <row r="883" ht="20.25" customHeight="1">
      <c r="A883" s="36"/>
      <c r="B883" s="92"/>
      <c r="C883" s="9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41"/>
      <c r="W883" s="5"/>
      <c r="X883" s="5"/>
      <c r="Y883" s="5"/>
      <c r="Z883" s="5"/>
    </row>
    <row r="884" ht="20.25" customHeight="1">
      <c r="A884" s="36"/>
      <c r="B884" s="92"/>
      <c r="C884" s="9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41"/>
      <c r="W884" s="5"/>
      <c r="X884" s="5"/>
      <c r="Y884" s="5"/>
      <c r="Z884" s="5"/>
    </row>
    <row r="885" ht="20.25" customHeight="1">
      <c r="A885" s="36"/>
      <c r="B885" s="92"/>
      <c r="C885" s="9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41"/>
      <c r="W885" s="5"/>
      <c r="X885" s="5"/>
      <c r="Y885" s="5"/>
      <c r="Z885" s="5"/>
    </row>
    <row r="886" ht="20.25" customHeight="1">
      <c r="A886" s="36"/>
      <c r="B886" s="92"/>
      <c r="C886" s="9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41"/>
      <c r="W886" s="5"/>
      <c r="X886" s="5"/>
      <c r="Y886" s="5"/>
      <c r="Z886" s="5"/>
    </row>
    <row r="887" ht="20.25" customHeight="1">
      <c r="A887" s="36"/>
      <c r="B887" s="92"/>
      <c r="C887" s="9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41"/>
      <c r="W887" s="5"/>
      <c r="X887" s="5"/>
      <c r="Y887" s="5"/>
      <c r="Z887" s="5"/>
    </row>
    <row r="888" ht="20.25" customHeight="1">
      <c r="A888" s="36"/>
      <c r="B888" s="92"/>
      <c r="C888" s="9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41"/>
      <c r="W888" s="5"/>
      <c r="X888" s="5"/>
      <c r="Y888" s="5"/>
      <c r="Z888" s="5"/>
    </row>
    <row r="889" ht="20.25" customHeight="1">
      <c r="A889" s="36"/>
      <c r="B889" s="92"/>
      <c r="C889" s="9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41"/>
      <c r="W889" s="5"/>
      <c r="X889" s="5"/>
      <c r="Y889" s="5"/>
      <c r="Z889" s="5"/>
    </row>
    <row r="890" ht="20.25" customHeight="1">
      <c r="A890" s="36"/>
      <c r="B890" s="92"/>
      <c r="C890" s="9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41"/>
      <c r="W890" s="5"/>
      <c r="X890" s="5"/>
      <c r="Y890" s="5"/>
      <c r="Z890" s="5"/>
    </row>
    <row r="891" ht="20.25" customHeight="1">
      <c r="A891" s="36"/>
      <c r="B891" s="92"/>
      <c r="C891" s="9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41"/>
      <c r="W891" s="5"/>
      <c r="X891" s="5"/>
      <c r="Y891" s="5"/>
      <c r="Z891" s="5"/>
    </row>
    <row r="892" ht="20.25" customHeight="1">
      <c r="A892" s="36"/>
      <c r="B892" s="92"/>
      <c r="C892" s="9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41"/>
      <c r="W892" s="5"/>
      <c r="X892" s="5"/>
      <c r="Y892" s="5"/>
      <c r="Z892" s="5"/>
    </row>
    <row r="893" ht="20.25" customHeight="1">
      <c r="A893" s="36"/>
      <c r="B893" s="92"/>
      <c r="C893" s="9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41"/>
      <c r="W893" s="5"/>
      <c r="X893" s="5"/>
      <c r="Y893" s="5"/>
      <c r="Z893" s="5"/>
    </row>
    <row r="894" ht="20.25" customHeight="1">
      <c r="A894" s="36"/>
      <c r="B894" s="92"/>
      <c r="C894" s="9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41"/>
      <c r="W894" s="5"/>
      <c r="X894" s="5"/>
      <c r="Y894" s="5"/>
      <c r="Z894" s="5"/>
    </row>
    <row r="895" ht="20.25" customHeight="1">
      <c r="A895" s="36"/>
      <c r="B895" s="92"/>
      <c r="C895" s="9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41"/>
      <c r="W895" s="5"/>
      <c r="X895" s="5"/>
      <c r="Y895" s="5"/>
      <c r="Z895" s="5"/>
    </row>
    <row r="896" ht="20.25" customHeight="1">
      <c r="A896" s="36"/>
      <c r="B896" s="92"/>
      <c r="C896" s="9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41"/>
      <c r="W896" s="5"/>
      <c r="X896" s="5"/>
      <c r="Y896" s="5"/>
      <c r="Z896" s="5"/>
    </row>
    <row r="897" ht="20.25" customHeight="1">
      <c r="A897" s="36"/>
      <c r="B897" s="92"/>
      <c r="C897" s="9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41"/>
      <c r="W897" s="5"/>
      <c r="X897" s="5"/>
      <c r="Y897" s="5"/>
      <c r="Z897" s="5"/>
    </row>
    <row r="898" ht="20.25" customHeight="1">
      <c r="A898" s="36"/>
      <c r="B898" s="92"/>
      <c r="C898" s="9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41"/>
      <c r="W898" s="5"/>
      <c r="X898" s="5"/>
      <c r="Y898" s="5"/>
      <c r="Z898" s="5"/>
    </row>
    <row r="899" ht="20.25" customHeight="1">
      <c r="A899" s="36"/>
      <c r="B899" s="92"/>
      <c r="C899" s="9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41"/>
      <c r="W899" s="5"/>
      <c r="X899" s="5"/>
      <c r="Y899" s="5"/>
      <c r="Z899" s="5"/>
    </row>
    <row r="900" ht="20.25" customHeight="1">
      <c r="A900" s="36"/>
      <c r="B900" s="92"/>
      <c r="C900" s="9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41"/>
      <c r="W900" s="5"/>
      <c r="X900" s="5"/>
      <c r="Y900" s="5"/>
      <c r="Z900" s="5"/>
    </row>
    <row r="901" ht="20.25" customHeight="1">
      <c r="A901" s="36"/>
      <c r="B901" s="92"/>
      <c r="C901" s="9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41"/>
      <c r="W901" s="5"/>
      <c r="X901" s="5"/>
      <c r="Y901" s="5"/>
      <c r="Z901" s="5"/>
    </row>
    <row r="902" ht="20.25" customHeight="1">
      <c r="A902" s="36"/>
      <c r="B902" s="92"/>
      <c r="C902" s="9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41"/>
      <c r="W902" s="5"/>
      <c r="X902" s="5"/>
      <c r="Y902" s="5"/>
      <c r="Z902" s="5"/>
    </row>
    <row r="903" ht="20.25" customHeight="1">
      <c r="A903" s="36"/>
      <c r="B903" s="92"/>
      <c r="C903" s="9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41"/>
      <c r="W903" s="5"/>
      <c r="X903" s="5"/>
      <c r="Y903" s="5"/>
      <c r="Z903" s="5"/>
    </row>
    <row r="904" ht="20.25" customHeight="1">
      <c r="A904" s="36"/>
      <c r="B904" s="92"/>
      <c r="C904" s="9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41"/>
      <c r="W904" s="5"/>
      <c r="X904" s="5"/>
      <c r="Y904" s="5"/>
      <c r="Z904" s="5"/>
    </row>
    <row r="905" ht="20.25" customHeight="1">
      <c r="A905" s="36"/>
      <c r="B905" s="92"/>
      <c r="C905" s="9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41"/>
      <c r="W905" s="5"/>
      <c r="X905" s="5"/>
      <c r="Y905" s="5"/>
      <c r="Z905" s="5"/>
    </row>
    <row r="906" ht="20.25" customHeight="1">
      <c r="A906" s="36"/>
      <c r="B906" s="92"/>
      <c r="C906" s="9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41"/>
      <c r="W906" s="5"/>
      <c r="X906" s="5"/>
      <c r="Y906" s="5"/>
      <c r="Z906" s="5"/>
    </row>
    <row r="907" ht="20.25" customHeight="1">
      <c r="A907" s="36"/>
      <c r="B907" s="92"/>
      <c r="C907" s="9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41"/>
      <c r="W907" s="5"/>
      <c r="X907" s="5"/>
      <c r="Y907" s="5"/>
      <c r="Z907" s="5"/>
    </row>
    <row r="908" ht="20.25" customHeight="1">
      <c r="A908" s="36"/>
      <c r="B908" s="92"/>
      <c r="C908" s="9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41"/>
      <c r="W908" s="5"/>
      <c r="X908" s="5"/>
      <c r="Y908" s="5"/>
      <c r="Z908" s="5"/>
    </row>
    <row r="909" ht="20.25" customHeight="1">
      <c r="A909" s="36"/>
      <c r="B909" s="92"/>
      <c r="C909" s="9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41"/>
      <c r="W909" s="5"/>
      <c r="X909" s="5"/>
      <c r="Y909" s="5"/>
      <c r="Z909" s="5"/>
    </row>
    <row r="910" ht="20.25" customHeight="1">
      <c r="A910" s="36"/>
      <c r="B910" s="92"/>
      <c r="C910" s="9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41"/>
      <c r="W910" s="5"/>
      <c r="X910" s="5"/>
      <c r="Y910" s="5"/>
      <c r="Z910" s="5"/>
    </row>
    <row r="911" ht="20.25" customHeight="1">
      <c r="A911" s="36"/>
      <c r="B911" s="92"/>
      <c r="C911" s="9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41"/>
      <c r="W911" s="5"/>
      <c r="X911" s="5"/>
      <c r="Y911" s="5"/>
      <c r="Z911" s="5"/>
    </row>
    <row r="912" ht="20.25" customHeight="1">
      <c r="A912" s="36"/>
      <c r="B912" s="92"/>
      <c r="C912" s="9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41"/>
      <c r="W912" s="5"/>
      <c r="X912" s="5"/>
      <c r="Y912" s="5"/>
      <c r="Z912" s="5"/>
    </row>
    <row r="913" ht="20.25" customHeight="1">
      <c r="A913" s="36"/>
      <c r="B913" s="92"/>
      <c r="C913" s="9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41"/>
      <c r="W913" s="5"/>
      <c r="X913" s="5"/>
      <c r="Y913" s="5"/>
      <c r="Z913" s="5"/>
    </row>
    <row r="914" ht="20.25" customHeight="1">
      <c r="A914" s="36"/>
      <c r="B914" s="92"/>
      <c r="C914" s="9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41"/>
      <c r="W914" s="5"/>
      <c r="X914" s="5"/>
      <c r="Y914" s="5"/>
      <c r="Z914" s="5"/>
    </row>
    <row r="915" ht="20.25" customHeight="1">
      <c r="A915" s="36"/>
      <c r="B915" s="92"/>
      <c r="C915" s="9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41"/>
      <c r="W915" s="5"/>
      <c r="X915" s="5"/>
      <c r="Y915" s="5"/>
      <c r="Z915" s="5"/>
    </row>
    <row r="916" ht="20.25" customHeight="1">
      <c r="A916" s="36"/>
      <c r="B916" s="92"/>
      <c r="C916" s="9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41"/>
      <c r="W916" s="5"/>
      <c r="X916" s="5"/>
      <c r="Y916" s="5"/>
      <c r="Z916" s="5"/>
    </row>
    <row r="917" ht="20.25" customHeight="1">
      <c r="A917" s="36"/>
      <c r="B917" s="92"/>
      <c r="C917" s="9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41"/>
      <c r="W917" s="5"/>
      <c r="X917" s="5"/>
      <c r="Y917" s="5"/>
      <c r="Z917" s="5"/>
    </row>
    <row r="918" ht="20.25" customHeight="1">
      <c r="A918" s="36"/>
      <c r="B918" s="92"/>
      <c r="C918" s="9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41"/>
      <c r="W918" s="5"/>
      <c r="X918" s="5"/>
      <c r="Y918" s="5"/>
      <c r="Z918" s="5"/>
    </row>
    <row r="919" ht="20.25" customHeight="1">
      <c r="A919" s="36"/>
      <c r="B919" s="92"/>
      <c r="C919" s="9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41"/>
      <c r="W919" s="5"/>
      <c r="X919" s="5"/>
      <c r="Y919" s="5"/>
      <c r="Z919" s="5"/>
    </row>
    <row r="920" ht="20.25" customHeight="1">
      <c r="A920" s="36"/>
      <c r="B920" s="92"/>
      <c r="C920" s="9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41"/>
      <c r="W920" s="5"/>
      <c r="X920" s="5"/>
      <c r="Y920" s="5"/>
      <c r="Z920" s="5"/>
    </row>
    <row r="921" ht="20.25" customHeight="1">
      <c r="A921" s="36"/>
      <c r="B921" s="92"/>
      <c r="C921" s="9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41"/>
      <c r="W921" s="5"/>
      <c r="X921" s="5"/>
      <c r="Y921" s="5"/>
      <c r="Z921" s="5"/>
    </row>
    <row r="922" ht="20.25" customHeight="1">
      <c r="A922" s="36"/>
      <c r="B922" s="92"/>
      <c r="C922" s="9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41"/>
      <c r="W922" s="5"/>
      <c r="X922" s="5"/>
      <c r="Y922" s="5"/>
      <c r="Z922" s="5"/>
    </row>
    <row r="923" ht="20.25" customHeight="1">
      <c r="A923" s="36"/>
      <c r="B923" s="92"/>
      <c r="C923" s="9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41"/>
      <c r="W923" s="5"/>
      <c r="X923" s="5"/>
      <c r="Y923" s="5"/>
      <c r="Z923" s="5"/>
    </row>
    <row r="924" ht="20.25" customHeight="1">
      <c r="A924" s="36"/>
      <c r="B924" s="92"/>
      <c r="C924" s="9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41"/>
      <c r="W924" s="5"/>
      <c r="X924" s="5"/>
      <c r="Y924" s="5"/>
      <c r="Z924" s="5"/>
    </row>
    <row r="925" ht="20.25" customHeight="1">
      <c r="A925" s="36"/>
      <c r="B925" s="92"/>
      <c r="C925" s="9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41"/>
      <c r="W925" s="5"/>
      <c r="X925" s="5"/>
      <c r="Y925" s="5"/>
      <c r="Z925" s="5"/>
    </row>
    <row r="926" ht="20.25" customHeight="1">
      <c r="A926" s="36"/>
      <c r="B926" s="92"/>
      <c r="C926" s="9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41"/>
      <c r="W926" s="5"/>
      <c r="X926" s="5"/>
      <c r="Y926" s="5"/>
      <c r="Z926" s="5"/>
    </row>
    <row r="927" ht="20.25" customHeight="1">
      <c r="A927" s="36"/>
      <c r="B927" s="92"/>
      <c r="C927" s="9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41"/>
      <c r="W927" s="5"/>
      <c r="X927" s="5"/>
      <c r="Y927" s="5"/>
      <c r="Z927" s="5"/>
    </row>
    <row r="928" ht="20.25" customHeight="1">
      <c r="A928" s="36"/>
      <c r="B928" s="92"/>
      <c r="C928" s="9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41"/>
      <c r="W928" s="5"/>
      <c r="X928" s="5"/>
      <c r="Y928" s="5"/>
      <c r="Z928" s="5"/>
    </row>
    <row r="929" ht="20.25" customHeight="1">
      <c r="A929" s="36"/>
      <c r="B929" s="92"/>
      <c r="C929" s="9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41"/>
      <c r="W929" s="5"/>
      <c r="X929" s="5"/>
      <c r="Y929" s="5"/>
      <c r="Z929" s="5"/>
    </row>
    <row r="930" ht="20.25" customHeight="1">
      <c r="A930" s="36"/>
      <c r="B930" s="92"/>
      <c r="C930" s="9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41"/>
      <c r="W930" s="5"/>
      <c r="X930" s="5"/>
      <c r="Y930" s="5"/>
      <c r="Z930" s="5"/>
    </row>
    <row r="931" ht="20.25" customHeight="1">
      <c r="A931" s="36"/>
      <c r="B931" s="92"/>
      <c r="C931" s="9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41"/>
      <c r="W931" s="5"/>
      <c r="X931" s="5"/>
      <c r="Y931" s="5"/>
      <c r="Z931" s="5"/>
    </row>
    <row r="932" ht="20.25" customHeight="1">
      <c r="A932" s="36"/>
      <c r="B932" s="92"/>
      <c r="C932" s="9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41"/>
      <c r="W932" s="5"/>
      <c r="X932" s="5"/>
      <c r="Y932" s="5"/>
      <c r="Z932" s="5"/>
    </row>
    <row r="933" ht="20.25" customHeight="1">
      <c r="A933" s="36"/>
      <c r="B933" s="92"/>
      <c r="C933" s="9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41"/>
      <c r="W933" s="5"/>
      <c r="X933" s="5"/>
      <c r="Y933" s="5"/>
      <c r="Z933" s="5"/>
    </row>
    <row r="934" ht="20.25" customHeight="1">
      <c r="A934" s="36"/>
      <c r="B934" s="92"/>
      <c r="C934" s="9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41"/>
      <c r="W934" s="5"/>
      <c r="X934" s="5"/>
      <c r="Y934" s="5"/>
      <c r="Z934" s="5"/>
    </row>
    <row r="935" ht="20.25" customHeight="1">
      <c r="A935" s="36"/>
      <c r="B935" s="92"/>
      <c r="C935" s="9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41"/>
      <c r="W935" s="5"/>
      <c r="X935" s="5"/>
      <c r="Y935" s="5"/>
      <c r="Z935" s="5"/>
    </row>
    <row r="936" ht="20.25" customHeight="1">
      <c r="A936" s="36"/>
      <c r="B936" s="92"/>
      <c r="C936" s="9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41"/>
      <c r="W936" s="5"/>
      <c r="X936" s="5"/>
      <c r="Y936" s="5"/>
      <c r="Z936" s="5"/>
    </row>
    <row r="937" ht="20.25" customHeight="1">
      <c r="A937" s="36"/>
      <c r="B937" s="92"/>
      <c r="C937" s="9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41"/>
      <c r="W937" s="5"/>
      <c r="X937" s="5"/>
      <c r="Y937" s="5"/>
      <c r="Z937" s="5"/>
    </row>
    <row r="938" ht="20.25" customHeight="1">
      <c r="A938" s="36"/>
      <c r="B938" s="92"/>
      <c r="C938" s="9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41"/>
      <c r="W938" s="5"/>
      <c r="X938" s="5"/>
      <c r="Y938" s="5"/>
      <c r="Z938" s="5"/>
    </row>
    <row r="939" ht="20.25" customHeight="1">
      <c r="A939" s="36"/>
      <c r="B939" s="92"/>
      <c r="C939" s="9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41"/>
      <c r="W939" s="5"/>
      <c r="X939" s="5"/>
      <c r="Y939" s="5"/>
      <c r="Z939" s="5"/>
    </row>
    <row r="940" ht="20.25" customHeight="1">
      <c r="A940" s="36"/>
      <c r="B940" s="92"/>
      <c r="C940" s="9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41"/>
      <c r="W940" s="5"/>
      <c r="X940" s="5"/>
      <c r="Y940" s="5"/>
      <c r="Z940" s="5"/>
    </row>
    <row r="941" ht="20.25" customHeight="1">
      <c r="A941" s="36"/>
      <c r="B941" s="92"/>
      <c r="C941" s="9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41"/>
      <c r="W941" s="5"/>
      <c r="X941" s="5"/>
      <c r="Y941" s="5"/>
      <c r="Z941" s="5"/>
    </row>
    <row r="942" ht="20.25" customHeight="1">
      <c r="A942" s="36"/>
      <c r="B942" s="92"/>
      <c r="C942" s="9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41"/>
      <c r="W942" s="5"/>
      <c r="X942" s="5"/>
      <c r="Y942" s="5"/>
      <c r="Z942" s="5"/>
    </row>
    <row r="943" ht="20.25" customHeight="1">
      <c r="A943" s="36"/>
      <c r="B943" s="92"/>
      <c r="C943" s="9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41"/>
      <c r="W943" s="5"/>
      <c r="X943" s="5"/>
      <c r="Y943" s="5"/>
      <c r="Z943" s="5"/>
    </row>
    <row r="944" ht="20.25" customHeight="1">
      <c r="A944" s="36"/>
      <c r="B944" s="92"/>
      <c r="C944" s="9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41"/>
      <c r="W944" s="5"/>
      <c r="X944" s="5"/>
      <c r="Y944" s="5"/>
      <c r="Z944" s="5"/>
    </row>
    <row r="945" ht="20.25" customHeight="1">
      <c r="A945" s="36"/>
      <c r="B945" s="92"/>
      <c r="C945" s="9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41"/>
      <c r="W945" s="5"/>
      <c r="X945" s="5"/>
      <c r="Y945" s="5"/>
      <c r="Z945" s="5"/>
    </row>
    <row r="946" ht="20.25" customHeight="1">
      <c r="A946" s="36"/>
      <c r="B946" s="92"/>
      <c r="C946" s="9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41"/>
      <c r="W946" s="5"/>
      <c r="X946" s="5"/>
      <c r="Y946" s="5"/>
      <c r="Z946" s="5"/>
    </row>
    <row r="947" ht="20.25" customHeight="1">
      <c r="A947" s="36"/>
      <c r="B947" s="92"/>
      <c r="C947" s="9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41"/>
      <c r="W947" s="5"/>
      <c r="X947" s="5"/>
      <c r="Y947" s="5"/>
      <c r="Z947" s="5"/>
    </row>
    <row r="948" ht="20.25" customHeight="1">
      <c r="A948" s="36"/>
      <c r="B948" s="92"/>
      <c r="C948" s="9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41"/>
      <c r="W948" s="5"/>
      <c r="X948" s="5"/>
      <c r="Y948" s="5"/>
      <c r="Z948" s="5"/>
    </row>
    <row r="949" ht="20.25" customHeight="1">
      <c r="A949" s="36"/>
      <c r="B949" s="92"/>
      <c r="C949" s="9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41"/>
      <c r="W949" s="5"/>
      <c r="X949" s="5"/>
      <c r="Y949" s="5"/>
      <c r="Z949" s="5"/>
    </row>
    <row r="950" ht="20.25" customHeight="1">
      <c r="A950" s="36"/>
      <c r="B950" s="92"/>
      <c r="C950" s="9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41"/>
      <c r="W950" s="5"/>
      <c r="X950" s="5"/>
      <c r="Y950" s="5"/>
      <c r="Z950" s="5"/>
    </row>
    <row r="951" ht="20.25" customHeight="1">
      <c r="A951" s="36"/>
      <c r="B951" s="92"/>
      <c r="C951" s="9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41"/>
      <c r="W951" s="5"/>
      <c r="X951" s="5"/>
      <c r="Y951" s="5"/>
      <c r="Z951" s="5"/>
    </row>
    <row r="952" ht="20.25" customHeight="1">
      <c r="A952" s="36"/>
      <c r="B952" s="92"/>
      <c r="C952" s="9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41"/>
      <c r="W952" s="5"/>
      <c r="X952" s="5"/>
      <c r="Y952" s="5"/>
      <c r="Z952" s="5"/>
    </row>
    <row r="953" ht="20.25" customHeight="1">
      <c r="A953" s="36"/>
      <c r="B953" s="92"/>
      <c r="C953" s="9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41"/>
      <c r="W953" s="5"/>
      <c r="X953" s="5"/>
      <c r="Y953" s="5"/>
      <c r="Z953" s="5"/>
    </row>
    <row r="954" ht="20.25" customHeight="1">
      <c r="A954" s="36"/>
      <c r="B954" s="92"/>
      <c r="C954" s="9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41"/>
      <c r="W954" s="5"/>
      <c r="X954" s="5"/>
      <c r="Y954" s="5"/>
      <c r="Z954" s="5"/>
    </row>
    <row r="955" ht="20.25" customHeight="1">
      <c r="A955" s="36"/>
      <c r="B955" s="92"/>
      <c r="C955" s="9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41"/>
      <c r="W955" s="5"/>
      <c r="X955" s="5"/>
      <c r="Y955" s="5"/>
      <c r="Z955" s="5"/>
    </row>
    <row r="956" ht="20.25" customHeight="1">
      <c r="A956" s="36"/>
      <c r="B956" s="92"/>
      <c r="C956" s="9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41"/>
      <c r="W956" s="5"/>
      <c r="X956" s="5"/>
      <c r="Y956" s="5"/>
      <c r="Z956" s="5"/>
    </row>
    <row r="957" ht="20.25" customHeight="1">
      <c r="A957" s="36"/>
      <c r="B957" s="92"/>
      <c r="C957" s="9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41"/>
      <c r="W957" s="5"/>
      <c r="X957" s="5"/>
      <c r="Y957" s="5"/>
      <c r="Z957" s="5"/>
    </row>
    <row r="958" ht="20.25" customHeight="1">
      <c r="A958" s="36"/>
      <c r="B958" s="92"/>
      <c r="C958" s="9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41"/>
      <c r="W958" s="5"/>
      <c r="X958" s="5"/>
      <c r="Y958" s="5"/>
      <c r="Z958" s="5"/>
    </row>
    <row r="959" ht="20.25" customHeight="1">
      <c r="A959" s="36"/>
      <c r="B959" s="92"/>
      <c r="C959" s="9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41"/>
      <c r="W959" s="5"/>
      <c r="X959" s="5"/>
      <c r="Y959" s="5"/>
      <c r="Z959" s="5"/>
    </row>
    <row r="960" ht="20.25" customHeight="1">
      <c r="A960" s="36"/>
      <c r="B960" s="92"/>
      <c r="C960" s="9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41"/>
      <c r="W960" s="5"/>
      <c r="X960" s="5"/>
      <c r="Y960" s="5"/>
      <c r="Z960" s="5"/>
    </row>
    <row r="961" ht="20.25" customHeight="1">
      <c r="A961" s="36"/>
      <c r="B961" s="92"/>
      <c r="C961" s="9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41"/>
      <c r="W961" s="5"/>
      <c r="X961" s="5"/>
      <c r="Y961" s="5"/>
      <c r="Z961" s="5"/>
    </row>
    <row r="962" ht="20.25" customHeight="1">
      <c r="A962" s="36"/>
      <c r="B962" s="92"/>
      <c r="C962" s="9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41"/>
      <c r="W962" s="5"/>
      <c r="X962" s="5"/>
      <c r="Y962" s="5"/>
      <c r="Z962" s="5"/>
    </row>
    <row r="963" ht="20.25" customHeight="1">
      <c r="A963" s="36"/>
      <c r="B963" s="92"/>
      <c r="C963" s="9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41"/>
      <c r="W963" s="5"/>
      <c r="X963" s="5"/>
      <c r="Y963" s="5"/>
      <c r="Z963" s="5"/>
    </row>
    <row r="964" ht="20.25" customHeight="1">
      <c r="A964" s="36"/>
      <c r="B964" s="92"/>
      <c r="C964" s="9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41"/>
      <c r="W964" s="5"/>
      <c r="X964" s="5"/>
      <c r="Y964" s="5"/>
      <c r="Z964" s="5"/>
    </row>
    <row r="965" ht="20.25" customHeight="1">
      <c r="A965" s="36"/>
      <c r="B965" s="92"/>
      <c r="C965" s="9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41"/>
      <c r="W965" s="5"/>
      <c r="X965" s="5"/>
      <c r="Y965" s="5"/>
      <c r="Z965" s="5"/>
    </row>
    <row r="966" ht="20.25" customHeight="1">
      <c r="A966" s="36"/>
      <c r="B966" s="92"/>
      <c r="C966" s="9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41"/>
      <c r="W966" s="5"/>
      <c r="X966" s="5"/>
      <c r="Y966" s="5"/>
      <c r="Z966" s="5"/>
    </row>
    <row r="967" ht="20.25" customHeight="1">
      <c r="A967" s="36"/>
      <c r="B967" s="92"/>
      <c r="C967" s="9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41"/>
      <c r="W967" s="5"/>
      <c r="X967" s="5"/>
      <c r="Y967" s="5"/>
      <c r="Z967" s="5"/>
    </row>
    <row r="968" ht="20.25" customHeight="1">
      <c r="A968" s="36"/>
      <c r="B968" s="92"/>
      <c r="C968" s="9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41"/>
      <c r="W968" s="5"/>
      <c r="X968" s="5"/>
      <c r="Y968" s="5"/>
      <c r="Z968" s="5"/>
    </row>
    <row r="969" ht="20.25" customHeight="1">
      <c r="A969" s="36"/>
      <c r="B969" s="92"/>
      <c r="C969" s="9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41"/>
      <c r="W969" s="5"/>
      <c r="X969" s="5"/>
      <c r="Y969" s="5"/>
      <c r="Z969" s="5"/>
    </row>
    <row r="970" ht="20.25" customHeight="1">
      <c r="A970" s="36"/>
      <c r="B970" s="92"/>
      <c r="C970" s="9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41"/>
      <c r="W970" s="5"/>
      <c r="X970" s="5"/>
      <c r="Y970" s="5"/>
      <c r="Z970" s="5"/>
    </row>
    <row r="971" ht="20.25" customHeight="1">
      <c r="A971" s="36"/>
      <c r="B971" s="92"/>
      <c r="C971" s="9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41"/>
      <c r="W971" s="5"/>
      <c r="X971" s="5"/>
      <c r="Y971" s="5"/>
      <c r="Z971" s="5"/>
    </row>
    <row r="972" ht="20.25" customHeight="1">
      <c r="A972" s="36"/>
      <c r="B972" s="92"/>
      <c r="C972" s="9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41"/>
      <c r="W972" s="5"/>
      <c r="X972" s="5"/>
      <c r="Y972" s="5"/>
      <c r="Z972" s="5"/>
    </row>
    <row r="973" ht="20.25" customHeight="1">
      <c r="A973" s="36"/>
      <c r="B973" s="92"/>
      <c r="C973" s="9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41"/>
      <c r="W973" s="5"/>
      <c r="X973" s="5"/>
      <c r="Y973" s="5"/>
      <c r="Z973" s="5"/>
    </row>
    <row r="974" ht="20.25" customHeight="1">
      <c r="A974" s="36"/>
      <c r="B974" s="92"/>
      <c r="C974" s="9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41"/>
      <c r="W974" s="5"/>
      <c r="X974" s="5"/>
      <c r="Y974" s="5"/>
      <c r="Z974" s="5"/>
    </row>
    <row r="975" ht="20.25" customHeight="1">
      <c r="A975" s="36"/>
      <c r="B975" s="92"/>
      <c r="C975" s="9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41"/>
      <c r="W975" s="5"/>
      <c r="X975" s="5"/>
      <c r="Y975" s="5"/>
      <c r="Z975" s="5"/>
    </row>
    <row r="976" ht="20.25" customHeight="1">
      <c r="A976" s="36"/>
      <c r="B976" s="92"/>
      <c r="C976" s="9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41"/>
      <c r="W976" s="5"/>
      <c r="X976" s="5"/>
      <c r="Y976" s="5"/>
      <c r="Z976" s="5"/>
    </row>
    <row r="977" ht="20.25" customHeight="1">
      <c r="A977" s="36"/>
      <c r="B977" s="92"/>
      <c r="C977" s="9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41"/>
      <c r="W977" s="5"/>
      <c r="X977" s="5"/>
      <c r="Y977" s="5"/>
      <c r="Z977" s="5"/>
    </row>
    <row r="978" ht="20.25" customHeight="1">
      <c r="A978" s="36"/>
      <c r="B978" s="92"/>
      <c r="C978" s="9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41"/>
      <c r="W978" s="5"/>
      <c r="X978" s="5"/>
      <c r="Y978" s="5"/>
      <c r="Z978" s="5"/>
    </row>
    <row r="979" ht="20.25" customHeight="1">
      <c r="A979" s="36"/>
      <c r="B979" s="92"/>
      <c r="C979" s="9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41"/>
      <c r="W979" s="5"/>
      <c r="X979" s="5"/>
      <c r="Y979" s="5"/>
      <c r="Z979" s="5"/>
    </row>
    <row r="980" ht="20.25" customHeight="1">
      <c r="A980" s="36"/>
      <c r="B980" s="92"/>
      <c r="C980" s="9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41"/>
      <c r="W980" s="5"/>
      <c r="X980" s="5"/>
      <c r="Y980" s="5"/>
      <c r="Z980" s="5"/>
    </row>
    <row r="981" ht="20.25" customHeight="1">
      <c r="A981" s="36"/>
      <c r="B981" s="92"/>
      <c r="C981" s="9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41"/>
      <c r="W981" s="5"/>
      <c r="X981" s="5"/>
      <c r="Y981" s="5"/>
      <c r="Z981" s="5"/>
    </row>
    <row r="982" ht="20.25" customHeight="1">
      <c r="A982" s="36"/>
      <c r="B982" s="92"/>
      <c r="C982" s="9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41"/>
      <c r="W982" s="5"/>
      <c r="X982" s="5"/>
      <c r="Y982" s="5"/>
      <c r="Z982" s="5"/>
    </row>
    <row r="983" ht="20.25" customHeight="1">
      <c r="A983" s="36"/>
      <c r="B983" s="92"/>
      <c r="C983" s="9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41"/>
      <c r="W983" s="5"/>
      <c r="X983" s="5"/>
      <c r="Y983" s="5"/>
      <c r="Z983" s="5"/>
    </row>
    <row r="984" ht="20.25" customHeight="1">
      <c r="A984" s="36"/>
      <c r="B984" s="92"/>
      <c r="C984" s="9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41"/>
      <c r="W984" s="5"/>
      <c r="X984" s="5"/>
      <c r="Y984" s="5"/>
      <c r="Z984" s="5"/>
    </row>
    <row r="985" ht="20.25" customHeight="1">
      <c r="A985" s="36"/>
      <c r="B985" s="92"/>
      <c r="C985" s="9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41"/>
      <c r="W985" s="5"/>
      <c r="X985" s="5"/>
      <c r="Y985" s="5"/>
      <c r="Z985" s="5"/>
    </row>
    <row r="986" ht="20.25" customHeight="1">
      <c r="A986" s="36"/>
      <c r="B986" s="92"/>
      <c r="C986" s="9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41"/>
      <c r="W986" s="5"/>
      <c r="X986" s="5"/>
      <c r="Y986" s="5"/>
      <c r="Z986" s="5"/>
    </row>
    <row r="987" ht="20.25" customHeight="1">
      <c r="A987" s="36"/>
      <c r="B987" s="92"/>
      <c r="C987" s="9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41"/>
      <c r="W987" s="5"/>
      <c r="X987" s="5"/>
      <c r="Y987" s="5"/>
      <c r="Z987" s="5"/>
    </row>
    <row r="988" ht="20.25" customHeight="1">
      <c r="A988" s="36"/>
      <c r="B988" s="92"/>
      <c r="C988" s="9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41"/>
      <c r="W988" s="5"/>
      <c r="X988" s="5"/>
      <c r="Y988" s="5"/>
      <c r="Z988" s="5"/>
    </row>
    <row r="989" ht="20.25" customHeight="1">
      <c r="A989" s="36"/>
      <c r="B989" s="92"/>
      <c r="C989" s="9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41"/>
      <c r="W989" s="5"/>
      <c r="X989" s="5"/>
      <c r="Y989" s="5"/>
      <c r="Z989" s="5"/>
    </row>
    <row r="990" ht="20.25" customHeight="1">
      <c r="A990" s="36"/>
      <c r="B990" s="92"/>
      <c r="C990" s="9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41"/>
      <c r="W990" s="5"/>
      <c r="X990" s="5"/>
      <c r="Y990" s="5"/>
      <c r="Z990" s="5"/>
    </row>
    <row r="991" ht="20.25" customHeight="1">
      <c r="A991" s="36"/>
      <c r="B991" s="92"/>
      <c r="C991" s="9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41"/>
      <c r="W991" s="5"/>
      <c r="X991" s="5"/>
      <c r="Y991" s="5"/>
      <c r="Z991" s="5"/>
    </row>
    <row r="992" ht="20.25" customHeight="1">
      <c r="A992" s="36"/>
      <c r="B992" s="92"/>
      <c r="C992" s="9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41"/>
      <c r="W992" s="5"/>
      <c r="X992" s="5"/>
      <c r="Y992" s="5"/>
      <c r="Z992" s="5"/>
    </row>
    <row r="993" ht="20.25" customHeight="1">
      <c r="A993" s="36"/>
      <c r="B993" s="92"/>
      <c r="C993" s="9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41"/>
      <c r="W993" s="5"/>
      <c r="X993" s="5"/>
      <c r="Y993" s="5"/>
      <c r="Z993" s="5"/>
    </row>
    <row r="994" ht="20.25" customHeight="1">
      <c r="A994" s="36"/>
      <c r="B994" s="92"/>
      <c r="C994" s="9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41"/>
      <c r="W994" s="5"/>
      <c r="X994" s="5"/>
      <c r="Y994" s="5"/>
      <c r="Z994" s="5"/>
    </row>
    <row r="995" ht="20.25" customHeight="1">
      <c r="A995" s="36"/>
      <c r="B995" s="92"/>
      <c r="C995" s="9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41"/>
      <c r="W995" s="5"/>
      <c r="X995" s="5"/>
      <c r="Y995" s="5"/>
      <c r="Z995" s="5"/>
    </row>
    <row r="996" ht="20.25" customHeight="1">
      <c r="A996" s="36"/>
      <c r="B996" s="92"/>
      <c r="C996" s="9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41"/>
      <c r="W996" s="5"/>
      <c r="X996" s="5"/>
      <c r="Y996" s="5"/>
      <c r="Z996" s="5"/>
    </row>
    <row r="997" ht="20.25" customHeight="1">
      <c r="A997" s="36"/>
      <c r="B997" s="92"/>
      <c r="C997" s="9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41"/>
      <c r="W997" s="5"/>
      <c r="X997" s="5"/>
      <c r="Y997" s="5"/>
      <c r="Z997" s="5"/>
    </row>
    <row r="998" ht="20.25" customHeight="1">
      <c r="A998" s="36"/>
      <c r="B998" s="92"/>
      <c r="C998" s="9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41"/>
      <c r="W998" s="5"/>
      <c r="X998" s="5"/>
      <c r="Y998" s="5"/>
      <c r="Z998" s="5"/>
    </row>
    <row r="999" ht="20.25" customHeight="1">
      <c r="A999" s="36"/>
      <c r="B999" s="92"/>
      <c r="C999" s="9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41"/>
      <c r="W999" s="5"/>
      <c r="X999" s="5"/>
      <c r="Y999" s="5"/>
      <c r="Z999" s="5"/>
    </row>
    <row r="1000" ht="20.25" customHeight="1">
      <c r="A1000" s="36"/>
      <c r="B1000" s="92"/>
      <c r="C1000" s="9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41"/>
      <c r="W1000" s="5"/>
      <c r="X1000" s="5"/>
      <c r="Y1000" s="5"/>
      <c r="Z1000" s="5"/>
    </row>
  </sheetData>
  <autoFilter ref="$A$5:$C$87">
    <filterColumn colId="1">
      <filters>
        <filter val="1-1Q(1-3)"/>
      </filters>
    </filterColumn>
  </autoFilter>
  <mergeCells count="9">
    <mergeCell ref="M4:M5"/>
    <mergeCell ref="N4:N5"/>
    <mergeCell ref="A1:T1"/>
    <mergeCell ref="G3:K3"/>
    <mergeCell ref="L3:O3"/>
    <mergeCell ref="G4:G5"/>
    <mergeCell ref="H4:H5"/>
    <mergeCell ref="I4:K4"/>
    <mergeCell ref="L4:L5"/>
  </mergeCells>
  <printOptions/>
  <pageMargins bottom="0.75" footer="0.0" header="0.0" left="0.7" right="0.7" top="0.75"/>
  <pageSetup orientation="landscape"/>
  <headerFooter>
    <oddFooter>&amp;L中華民國產物保險商業同業公會編製&amp;R 資料來源係各產物保險公司提供其承保各險種簽單保費收入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78"/>
    <col customWidth="1" min="2" max="2" width="10.22"/>
    <col customWidth="1" min="3" max="3" width="8.0"/>
    <col customWidth="1" min="4" max="4" width="11.22"/>
    <col customWidth="1" min="5" max="5" width="34.33"/>
    <col customWidth="1" min="6" max="26" width="8.0"/>
  </cols>
  <sheetData>
    <row r="1" ht="33.0" customHeight="1">
      <c r="A1" s="95" t="s">
        <v>125</v>
      </c>
      <c r="B1" s="96" t="s">
        <v>126</v>
      </c>
      <c r="C1" s="96" t="s">
        <v>23</v>
      </c>
      <c r="D1" s="97"/>
      <c r="E1" s="98" t="s">
        <v>127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99" t="s">
        <v>128</v>
      </c>
      <c r="B2" s="100" t="s">
        <v>105</v>
      </c>
      <c r="C2" s="101" t="s">
        <v>1</v>
      </c>
      <c r="D2" s="101"/>
      <c r="E2" s="102" t="s">
        <v>129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03"/>
      <c r="B3" s="104"/>
      <c r="C3" s="105" t="s">
        <v>2</v>
      </c>
      <c r="D3" s="105"/>
      <c r="E3" s="106" t="s">
        <v>130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03"/>
      <c r="B4" s="104"/>
      <c r="C4" s="105" t="s">
        <v>3</v>
      </c>
      <c r="D4" s="105"/>
      <c r="E4" s="106" t="s">
        <v>131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03"/>
      <c r="B5" s="104"/>
      <c r="C5" s="105" t="s">
        <v>4</v>
      </c>
      <c r="D5" s="105"/>
      <c r="E5" s="106" t="s">
        <v>132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99" t="s">
        <v>133</v>
      </c>
      <c r="B6" s="100" t="s">
        <v>106</v>
      </c>
      <c r="C6" s="101" t="s">
        <v>5</v>
      </c>
      <c r="D6" s="101"/>
      <c r="E6" s="102" t="s">
        <v>134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03"/>
      <c r="B7" s="104"/>
      <c r="C7" s="105" t="s">
        <v>6</v>
      </c>
      <c r="D7" s="105"/>
      <c r="E7" s="106" t="s">
        <v>135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03"/>
      <c r="B8" s="104"/>
      <c r="C8" s="105" t="s">
        <v>7</v>
      </c>
      <c r="D8" s="105"/>
      <c r="E8" s="106" t="s">
        <v>136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03"/>
      <c r="B9" s="104"/>
      <c r="C9" s="105" t="s">
        <v>8</v>
      </c>
      <c r="D9" s="105"/>
      <c r="E9" s="106" t="s">
        <v>137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07" t="s">
        <v>138</v>
      </c>
      <c r="B10" s="108" t="s">
        <v>34</v>
      </c>
      <c r="C10" s="109" t="s">
        <v>9</v>
      </c>
      <c r="D10" s="109"/>
      <c r="E10" s="110" t="s">
        <v>139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11" t="s">
        <v>140</v>
      </c>
      <c r="B11" s="112" t="s">
        <v>101</v>
      </c>
      <c r="C11" s="105" t="s">
        <v>10</v>
      </c>
      <c r="D11" s="112" t="s">
        <v>141</v>
      </c>
      <c r="E11" s="106" t="s">
        <v>142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03"/>
      <c r="B12" s="104"/>
      <c r="C12" s="113" t="s">
        <v>11</v>
      </c>
      <c r="D12" s="114"/>
      <c r="E12" s="115" t="s">
        <v>143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03"/>
      <c r="B13" s="104"/>
      <c r="C13" s="105" t="s">
        <v>12</v>
      </c>
      <c r="D13" s="112" t="s">
        <v>144</v>
      </c>
      <c r="E13" s="106" t="s">
        <v>145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03"/>
      <c r="B14" s="104"/>
      <c r="C14" s="113" t="s">
        <v>13</v>
      </c>
      <c r="D14" s="114"/>
      <c r="E14" s="115" t="s">
        <v>146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03"/>
      <c r="B15" s="104"/>
      <c r="C15" s="105" t="s">
        <v>14</v>
      </c>
      <c r="D15" s="112" t="s">
        <v>147</v>
      </c>
      <c r="E15" s="106" t="s">
        <v>148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03"/>
      <c r="B16" s="104"/>
      <c r="C16" s="113" t="s">
        <v>15</v>
      </c>
      <c r="D16" s="114"/>
      <c r="E16" s="115" t="s">
        <v>149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103"/>
      <c r="B17" s="104"/>
      <c r="C17" s="116" t="s">
        <v>16</v>
      </c>
      <c r="D17" s="117" t="s">
        <v>150</v>
      </c>
      <c r="E17" s="118" t="s">
        <v>151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119"/>
      <c r="B18" s="120"/>
      <c r="C18" s="121" t="s">
        <v>152</v>
      </c>
      <c r="D18" s="122" t="s">
        <v>153</v>
      </c>
      <c r="E18" s="123" t="s">
        <v>154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111" t="s">
        <v>155</v>
      </c>
      <c r="B19" s="112" t="s">
        <v>102</v>
      </c>
      <c r="C19" s="105" t="s">
        <v>17</v>
      </c>
      <c r="D19" s="112" t="s">
        <v>156</v>
      </c>
      <c r="E19" s="106" t="s">
        <v>157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103"/>
      <c r="B20" s="104"/>
      <c r="C20" s="113" t="s">
        <v>18</v>
      </c>
      <c r="D20" s="114"/>
      <c r="E20" s="115" t="s">
        <v>158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03"/>
      <c r="B21" s="104"/>
      <c r="C21" s="116" t="s">
        <v>19</v>
      </c>
      <c r="D21" s="117" t="s">
        <v>159</v>
      </c>
      <c r="E21" s="118" t="s">
        <v>160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03"/>
      <c r="B22" s="104"/>
      <c r="C22" s="105" t="s">
        <v>161</v>
      </c>
      <c r="D22" s="112" t="s">
        <v>162</v>
      </c>
      <c r="E22" s="106" t="s">
        <v>163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103"/>
      <c r="B23" s="104"/>
      <c r="C23" s="113" t="s">
        <v>164</v>
      </c>
      <c r="D23" s="114"/>
      <c r="E23" s="115" t="s">
        <v>165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03"/>
      <c r="B24" s="104"/>
      <c r="C24" s="105" t="s">
        <v>166</v>
      </c>
      <c r="D24" s="112" t="s">
        <v>167</v>
      </c>
      <c r="E24" s="106" t="s">
        <v>168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03"/>
      <c r="B25" s="104"/>
      <c r="C25" s="105" t="s">
        <v>20</v>
      </c>
      <c r="D25" s="105"/>
      <c r="E25" s="106" t="s">
        <v>48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103"/>
      <c r="B26" s="104"/>
      <c r="C26" s="105" t="s">
        <v>169</v>
      </c>
      <c r="D26" s="105"/>
      <c r="E26" s="106" t="s">
        <v>170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103"/>
      <c r="B27" s="104"/>
      <c r="C27" s="105" t="s">
        <v>171</v>
      </c>
      <c r="D27" s="105"/>
      <c r="E27" s="106" t="s">
        <v>172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07" t="s">
        <v>173</v>
      </c>
      <c r="B28" s="108" t="s">
        <v>49</v>
      </c>
      <c r="C28" s="109" t="s">
        <v>174</v>
      </c>
      <c r="D28" s="109"/>
      <c r="E28" s="110" t="s">
        <v>49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11" t="s">
        <v>175</v>
      </c>
      <c r="B29" s="112" t="s">
        <v>114</v>
      </c>
      <c r="C29" s="105" t="s">
        <v>176</v>
      </c>
      <c r="D29" s="105"/>
      <c r="E29" s="106" t="s">
        <v>177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103"/>
      <c r="B30" s="104"/>
      <c r="C30" s="105" t="s">
        <v>21</v>
      </c>
      <c r="D30" s="105"/>
      <c r="E30" s="106" t="s">
        <v>178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119"/>
      <c r="B31" s="120"/>
      <c r="C31" s="124" t="s">
        <v>22</v>
      </c>
      <c r="D31" s="124"/>
      <c r="E31" s="125" t="s">
        <v>179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126" t="s">
        <v>180</v>
      </c>
      <c r="B32" s="127" t="s">
        <v>115</v>
      </c>
      <c r="C32" s="101">
        <v>3000.0</v>
      </c>
      <c r="D32" s="101"/>
      <c r="E32" s="102" t="s">
        <v>181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28"/>
      <c r="B33" s="129"/>
      <c r="C33" s="124">
        <v>3100.0</v>
      </c>
      <c r="D33" s="124"/>
      <c r="E33" s="125" t="s">
        <v>182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130" t="s">
        <v>183</v>
      </c>
      <c r="B34" s="131" t="s">
        <v>58</v>
      </c>
      <c r="C34" s="132">
        <v>9900.0</v>
      </c>
      <c r="D34" s="132"/>
      <c r="E34" s="133" t="s">
        <v>184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